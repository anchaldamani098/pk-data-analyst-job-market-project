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7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4.xml.rels" ContentType="application/vnd.openxmlformats-package.relationships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eaned_Data" sheetId="1" state="visible" r:id="rId3"/>
    <sheet name="Macro_Context_PBS" sheetId="2" state="visible" r:id="rId4"/>
    <sheet name="Summary_City" sheetId="3" state="visible" r:id="rId5"/>
    <sheet name="Summary_Platform" sheetId="4" state="visible" r:id="rId6"/>
    <sheet name="Summary_WorkMode_Experience" sheetId="5" state="visible" r:id="rId7"/>
    <sheet name="Salary_Transparency" sheetId="6" state="visible" r:id="rId8"/>
    <sheet name="Skills_Demand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<sst xmlns="http://schemas.openxmlformats.org/spreadsheetml/2006/main" count="2895" uniqueCount="767">
  <si>
    <t xml:space="preserve">job_title</t>
  </si>
  <si>
    <t xml:space="preserve">company</t>
  </si>
  <si>
    <t xml:space="preserve">city</t>
  </si>
  <si>
    <t xml:space="preserve">sector</t>
  </si>
  <si>
    <t xml:space="preserve">employment_type</t>
  </si>
  <si>
    <t xml:space="preserve">experience_required</t>
  </si>
  <si>
    <t xml:space="preserve">salary_pkr_month</t>
  </si>
  <si>
    <t xml:space="preserve">platform</t>
  </si>
  <si>
    <t xml:space="preserve">date_posted_or_seen</t>
  </si>
  <si>
    <t xml:space="preserve">source_url</t>
  </si>
  <si>
    <t xml:space="preserve">notes</t>
  </si>
  <si>
    <t xml:space="preserve">city_clean</t>
  </si>
  <si>
    <t xml:space="preserve">work_mode</t>
  </si>
  <si>
    <t xml:space="preserve">contract_type</t>
  </si>
  <si>
    <t xml:space="preserve">experience_level</t>
  </si>
  <si>
    <t xml:space="preserve">salary_disclosed</t>
  </si>
  <si>
    <t xml:space="preserve">date_parsed</t>
  </si>
  <si>
    <t xml:space="preserve">salary_currency</t>
  </si>
  <si>
    <t xml:space="preserve">salary_value_monthly</t>
  </si>
  <si>
    <t xml:space="preserve">salary_note</t>
  </si>
  <si>
    <t xml:space="preserve">search_text</t>
  </si>
  <si>
    <t xml:space="preserve">Data Analyst</t>
  </si>
  <si>
    <t xml:space="preserve">Millat Tractors</t>
  </si>
  <si>
    <t xml:space="preserve">Rawalpindi</t>
  </si>
  <si>
    <t xml:space="preserve">Manufacturing</t>
  </si>
  <si>
    <t xml:space="preserve">Hybrid</t>
  </si>
  <si>
    <t xml:space="preserve">Senior (5-8 yrs)</t>
  </si>
  <si>
    <t xml:space="preserve">Not disclosed</t>
  </si>
  <si>
    <t xml:space="preserve">Rozee.pk</t>
  </si>
  <si>
    <t xml:space="preserve">2026-06</t>
  </si>
  <si>
    <t xml:space="preserve">https://www.rozee.pk/search/data-analyst-jobs-in-pakistan</t>
  </si>
  <si>
    <t xml:space="preserve">From Rozee.pk live search results</t>
  </si>
  <si>
    <t xml:space="preserve">Senior</t>
  </si>
  <si>
    <t xml:space="preserve">No</t>
  </si>
  <si>
    <t xml:space="preserve">2026-06-01</t>
  </si>
  <si>
    <t xml:space="preserve">data analyst | from rozee.pk live search results | manufacturing</t>
  </si>
  <si>
    <t xml:space="preserve">Upwork Bidder / Business Analyst</t>
  </si>
  <si>
    <t xml:space="preserve">Dotgenic Systems</t>
  </si>
  <si>
    <t xml:space="preserve">Lahore</t>
  </si>
  <si>
    <t xml:space="preserve">IT Services</t>
  </si>
  <si>
    <t xml:space="preserve">Fresh</t>
  </si>
  <si>
    <t xml:space="preserve">2026-06-10</t>
  </si>
  <si>
    <t xml:space="preserve">Client acquisition + data analysis role</t>
  </si>
  <si>
    <t xml:space="preserve">Entry/Fresh</t>
  </si>
  <si>
    <t xml:space="preserve">upwork bidder / business analyst | client acquisition + data analysis role | it services</t>
  </si>
  <si>
    <t xml:space="preserve">Associate Financial Analyst</t>
  </si>
  <si>
    <t xml:space="preserve">ASTO Life Sciences</t>
  </si>
  <si>
    <t xml:space="preserve">Pharma/Life Sciences</t>
  </si>
  <si>
    <t xml:space="preserve">3 years</t>
  </si>
  <si>
    <t xml:space="preserve">120000-120000</t>
  </si>
  <si>
    <t xml:space="preserve">2026-06-15</t>
  </si>
  <si>
    <t xml:space="preserve">Only listing with exact disclosed salary</t>
  </si>
  <si>
    <t xml:space="preserve">Mid</t>
  </si>
  <si>
    <t xml:space="preserve">Yes</t>
  </si>
  <si>
    <t xml:space="preserve">PKR</t>
  </si>
  <si>
    <t xml:space="preserve">associate financial analyst | only listing with exact disclosed salary | pharma/life sciences</t>
  </si>
  <si>
    <t xml:space="preserve">Financial Analyst</t>
  </si>
  <si>
    <t xml:space="preserve">KSB Pumps Company Limited</t>
  </si>
  <si>
    <t xml:space="preserve">Experienced</t>
  </si>
  <si>
    <t xml:space="preserve">financial analyst |  | manufacturing</t>
  </si>
  <si>
    <t xml:space="preserve">Senior Project Analyst</t>
  </si>
  <si>
    <t xml:space="preserve">Now IT Solutions</t>
  </si>
  <si>
    <t xml:space="preserve">Techno-functional PMO role</t>
  </si>
  <si>
    <t xml:space="preserve">senior project analyst | techno-functional pmo role | it services</t>
  </si>
  <si>
    <t xml:space="preserve">Senior Analyst</t>
  </si>
  <si>
    <t xml:space="preserve">Bank Al Habib Limited</t>
  </si>
  <si>
    <t xml:space="preserve">Banking</t>
  </si>
  <si>
    <t xml:space="preserve">3+ years</t>
  </si>
  <si>
    <t xml:space="preserve">Power BI / Power Query skills required</t>
  </si>
  <si>
    <t xml:space="preserve">senior analyst | power bi / power query skills required | banking</t>
  </si>
  <si>
    <t xml:space="preserve">Data and Reporting Analyst</t>
  </si>
  <si>
    <t xml:space="preserve">Confidential (NGO/Program)</t>
  </si>
  <si>
    <t xml:space="preserve">NGO &amp; Development</t>
  </si>
  <si>
    <t xml:space="preserve">Program data accuracy and integrity role</t>
  </si>
  <si>
    <t xml:space="preserve">data and reporting analyst | program data accuracy and integrity role | ngo &amp; development</t>
  </si>
  <si>
    <t xml:space="preserve">MIS Analyst</t>
  </si>
  <si>
    <t xml:space="preserve">Confidential (Health Program)</t>
  </si>
  <si>
    <t xml:space="preserve">Health Management Information Systems</t>
  </si>
  <si>
    <t xml:space="preserve">mis analyst | health management information systems | ngo &amp; development</t>
  </si>
  <si>
    <t xml:space="preserve">Junior SAP Analytics Cloud Analyst</t>
  </si>
  <si>
    <t xml:space="preserve">Confidential Multinational</t>
  </si>
  <si>
    <t xml:space="preserve">FMCG/Multinational</t>
  </si>
  <si>
    <t xml:space="preserve">Entry Level</t>
  </si>
  <si>
    <t xml:space="preserve">Entry level</t>
  </si>
  <si>
    <t xml:space="preserve">SAP Analytics Cloud dashboarding</t>
  </si>
  <si>
    <t xml:space="preserve">junior sap analytics cloud analyst | sap analytics cloud dashboarding | fmcg/multinational</t>
  </si>
  <si>
    <t xml:space="preserve">Data Analyst Associate</t>
  </si>
  <si>
    <t xml:space="preserve">Gazala Group</t>
  </si>
  <si>
    <t xml:space="preserve">Karachi (North Nazimabad)</t>
  </si>
  <si>
    <t xml:space="preserve">Healthcare Consultancy</t>
  </si>
  <si>
    <t xml:space="preserve">Excel PivotTables, R, data visualization</t>
  </si>
  <si>
    <t xml:space="preserve">Karachi</t>
  </si>
  <si>
    <t xml:space="preserve">data analyst associate | excel pivottables, r, data visualization | healthcare consultancy</t>
  </si>
  <si>
    <t xml:space="preserve">Data Research and Data Analyst</t>
  </si>
  <si>
    <t xml:space="preserve">S&amp;N Consulting Group Pvt Ltd</t>
  </si>
  <si>
    <t xml:space="preserve">Multan (Shah Rukn-e-Alam)</t>
  </si>
  <si>
    <t xml:space="preserve">Consulting</t>
  </si>
  <si>
    <t xml:space="preserve">Data mining and database management</t>
  </si>
  <si>
    <t xml:space="preserve">Multan</t>
  </si>
  <si>
    <t xml:space="preserve">data research and data analyst | data mining and database management | consulting</t>
  </si>
  <si>
    <t xml:space="preserve">Rozee (internal posting)</t>
  </si>
  <si>
    <t xml:space="preserve">Agri-Tech</t>
  </si>
  <si>
    <t xml:space="preserve">https://www.rozee.pk/EN/rozee-data-analyst-jobs-1555112</t>
  </si>
  <si>
    <t xml:space="preserve">Crop price prediction using Python and Power BI</t>
  </si>
  <si>
    <t xml:space="preserve">data analyst | crop price prediction using python and power bi | agri-tech</t>
  </si>
  <si>
    <t xml:space="preserve">Data Analyst/Reporting - Microsoft Power BI</t>
  </si>
  <si>
    <t xml:space="preserve">GRID Systems</t>
  </si>
  <si>
    <t xml:space="preserve">Islamabad</t>
  </si>
  <si>
    <t xml:space="preserve">Glassdoor</t>
  </si>
  <si>
    <t xml:space="preserve">https://www.glassdoor.com/Job/pakistan-data-analyst-jobs-SRCH_IL.0,8_IN192_KO9,21.htm</t>
  </si>
  <si>
    <t xml:space="preserve">Company rating 4.6/5 on Glassdoor</t>
  </si>
  <si>
    <t xml:space="preserve">data analyst/reporting - microsoft power bi | company rating 4.6/5 on glassdoor | it services</t>
  </si>
  <si>
    <t xml:space="preserve">Data Conversion Analyst</t>
  </si>
  <si>
    <t xml:space="preserve">Contour Software</t>
  </si>
  <si>
    <t xml:space="preserve">Company rating 4.4/5 on Glassdoor</t>
  </si>
  <si>
    <t xml:space="preserve">data conversion analyst | company rating 4.4/5 on glassdoor | it services</t>
  </si>
  <si>
    <t xml:space="preserve">Metallicus</t>
  </si>
  <si>
    <t xml:space="preserve">Pakistan (Remote/Hybrid)</t>
  </si>
  <si>
    <t xml:space="preserve">Fintech/Blockchain</t>
  </si>
  <si>
    <t xml:space="preserve">Company rating 4.0/5 on Glassdoor</t>
  </si>
  <si>
    <t xml:space="preserve">Remote/Unspecified</t>
  </si>
  <si>
    <t xml:space="preserve">data analyst | company rating 4.0/5 on glassdoor | fintech/blockchain</t>
  </si>
  <si>
    <t xml:space="preserve">Dignosco</t>
  </si>
  <si>
    <t xml:space="preserve">EdTech/Consulting</t>
  </si>
  <si>
    <t xml:space="preserve">Full-time</t>
  </si>
  <si>
    <t xml:space="preserve">30000-35000</t>
  </si>
  <si>
    <t xml:space="preserve">https://www.glassdoor.com/Job/lahore-data-analyst-jobs-SRCH_IL.0,6_IC3206630_KO7,19.htm</t>
  </si>
  <si>
    <t xml:space="preserve">Job Code 0019/14; Department Counselling; exact disclosed salary range</t>
  </si>
  <si>
    <t xml:space="preserve">data analyst | job code 0019/14; department counselling; exact disclosed salary range | edtech/consulting</t>
  </si>
  <si>
    <t xml:space="preserve">Lead/Senior Data Analyst - Python/SQL</t>
  </si>
  <si>
    <t xml:space="preserve">ValueMomentum</t>
  </si>
  <si>
    <t xml:space="preserve">Pakistan</t>
  </si>
  <si>
    <t xml:space="preserve">IT Services / Insurance Tech</t>
  </si>
  <si>
    <t xml:space="preserve">2026-05</t>
  </si>
  <si>
    <t xml:space="preserve">https://www.glassdoor.com/Job/pakistan-data-analytics-jobs-SRCH_IL.0,8_IN192_KO9,23.htm</t>
  </si>
  <si>
    <t xml:space="preserve">UK/US P&amp;C Insurance domain experience required</t>
  </si>
  <si>
    <t xml:space="preserve">2026-05-01</t>
  </si>
  <si>
    <t xml:space="preserve">lead/senior data analyst - python/sql | uk/us p&amp;c insurance domain experience required | it services / insurance tech</t>
  </si>
  <si>
    <t xml:space="preserve">Creative Chaos</t>
  </si>
  <si>
    <t xml:space="preserve">Bayt.com</t>
  </si>
  <si>
    <t xml:space="preserve">https://www.bayt.com/en/pakistan/jobs/data-analyst-jobs/</t>
  </si>
  <si>
    <t xml:space="preserve">data analyst |  | it services</t>
  </si>
  <si>
    <t xml:space="preserve">Sr. Data Scientist</t>
  </si>
  <si>
    <t xml:space="preserve">Confidential</t>
  </si>
  <si>
    <t xml:space="preserve">Karachi/Lahore/Islamabad</t>
  </si>
  <si>
    <t xml:space="preserve">Onsite</t>
  </si>
  <si>
    <t xml:space="preserve">PKR salary (not disclosed)</t>
  </si>
  <si>
    <t xml:space="preserve">Multi-city</t>
  </si>
  <si>
    <t xml:space="preserve">sr. data scientist |  | it services</t>
  </si>
  <si>
    <t xml:space="preserve">Senior Manager Data Modeler</t>
  </si>
  <si>
    <t xml:space="preserve">MetLife (MGCC)</t>
  </si>
  <si>
    <t xml:space="preserve">Karachi/Islamabad</t>
  </si>
  <si>
    <t xml:space="preserve">Insurance/Global Capability Center</t>
  </si>
  <si>
    <t xml:space="preserve">Senior/Manager</t>
  </si>
  <si>
    <t xml:space="preserve">Morning shift; global capability center role</t>
  </si>
  <si>
    <t xml:space="preserve">senior manager data modeler | morning shift; global capability center role | insurance/global capability center</t>
  </si>
  <si>
    <t xml:space="preserve">Data Engineer</t>
  </si>
  <si>
    <t xml:space="preserve">Technology</t>
  </si>
  <si>
    <t xml:space="preserve">LinkedIn</t>
  </si>
  <si>
    <t xml:space="preserve">https://pk.linkedin.com/jobs/data-analyst-jobs</t>
  </si>
  <si>
    <t xml:space="preserve">Actively hiring</t>
  </si>
  <si>
    <t xml:space="preserve">data engineer | actively hiring | technology</t>
  </si>
  <si>
    <t xml:space="preserve">Power BI Expert</t>
  </si>
  <si>
    <t xml:space="preserve">power bi expert |  | technology</t>
  </si>
  <si>
    <t xml:space="preserve">Business Intelligence Specialist</t>
  </si>
  <si>
    <t xml:space="preserve">business intelligence specialist | actively hiring | technology</t>
  </si>
  <si>
    <t xml:space="preserve">Senior Data Analyst</t>
  </si>
  <si>
    <t xml:space="preserve">Punjab</t>
  </si>
  <si>
    <t xml:space="preserve">Punjab (unspecified city)</t>
  </si>
  <si>
    <t xml:space="preserve">senior data analyst | actively hiring | technology</t>
  </si>
  <si>
    <t xml:space="preserve">Remote Data Science Analyst</t>
  </si>
  <si>
    <t xml:space="preserve">Pakistan (Remote)</t>
  </si>
  <si>
    <t xml:space="preserve">Remote</t>
  </si>
  <si>
    <t xml:space="preserve">remote data science analyst | actively hiring | technology</t>
  </si>
  <si>
    <t xml:space="preserve">Analyst - Insights &amp; Analytics</t>
  </si>
  <si>
    <t xml:space="preserve">analyst - insights &amp; analytics | actively hiring | technology</t>
  </si>
  <si>
    <t xml:space="preserve">Data Analyst - Residual Value Monetisation</t>
  </si>
  <si>
    <t xml:space="preserve">Automotive/Fintech</t>
  </si>
  <si>
    <t xml:space="preserve">USD salary (not disclosed)</t>
  </si>
  <si>
    <t xml:space="preserve">Rare USD-denominated onsite role</t>
  </si>
  <si>
    <t xml:space="preserve">data analyst - residual value monetisation | rare usd-denominated onsite role | automotive/fintech</t>
  </si>
  <si>
    <t xml:space="preserve">Python Data Analyst</t>
  </si>
  <si>
    <t xml:space="preserve">python data analyst | actively hiring | technology</t>
  </si>
  <si>
    <t xml:space="preserve">BI Developer</t>
  </si>
  <si>
    <t xml:space="preserve">bi developer | actively hiring | technology</t>
  </si>
  <si>
    <t xml:space="preserve">Data Analyst - Crystal Reports</t>
  </si>
  <si>
    <t xml:space="preserve">https://pk.linkedin.com/jobs/data-analytics-jobs</t>
  </si>
  <si>
    <t xml:space="preserve">data analyst - crystal reports |  | technology</t>
  </si>
  <si>
    <t xml:space="preserve">Assistant Manager - Business Intelligence</t>
  </si>
  <si>
    <t xml:space="preserve">Assistant Manager</t>
  </si>
  <si>
    <t xml:space="preserve">assistant manager - business intelligence | actively hiring | technology</t>
  </si>
  <si>
    <t xml:space="preserve">Business Intelligence Analyst</t>
  </si>
  <si>
    <t xml:space="preserve">Lahore (Johar Town)</t>
  </si>
  <si>
    <t xml:space="preserve">business intelligence analyst |  | technology</t>
  </si>
  <si>
    <t xml:space="preserve">Lead Data Analyst</t>
  </si>
  <si>
    <t xml:space="preserve">Lead</t>
  </si>
  <si>
    <t xml:space="preserve">lead data analyst | actively hiring | technology</t>
  </si>
  <si>
    <t xml:space="preserve">Data Analyst (Onsite Lahore)</t>
  </si>
  <si>
    <t xml:space="preserve">USD-denominated onsite role</t>
  </si>
  <si>
    <t xml:space="preserve">data analyst (onsite lahore) | usd-denominated onsite role | technology</t>
  </si>
  <si>
    <t xml:space="preserve">Data Scientist</t>
  </si>
  <si>
    <t xml:space="preserve">data scientist | actively hiring | technology</t>
  </si>
  <si>
    <t xml:space="preserve">Assistant Manager - Data Analytics</t>
  </si>
  <si>
    <t xml:space="preserve">https://pk.linkedin.com/jobs/data-analysis-jobs</t>
  </si>
  <si>
    <t xml:space="preserve">assistant manager - data analytics | actively hiring | technology</t>
  </si>
  <si>
    <t xml:space="preserve">Trainee Data Science</t>
  </si>
  <si>
    <t xml:space="preserve">Trainee</t>
  </si>
  <si>
    <t xml:space="preserve">trainee data science |  | technology</t>
  </si>
  <si>
    <t xml:space="preserve">Business Analyst - Agri</t>
  </si>
  <si>
    <t xml:space="preserve">Agriculture</t>
  </si>
  <si>
    <t xml:space="preserve">business analyst - agri | actively hiring | agriculture</t>
  </si>
  <si>
    <t xml:space="preserve">Habib Bank AG Zurich</t>
  </si>
  <si>
    <t xml:space="preserve">2026-04-14</t>
  </si>
  <si>
    <t xml:space="preserve">https://pk.linkedin.com/jobs/view/data-scientist-at-habib-bank-ag-zurich-4399532611</t>
  </si>
  <si>
    <t xml:space="preserve">Individual job posting URL</t>
  </si>
  <si>
    <t xml:space="preserve">data scientist | individual job posting url | banking</t>
  </si>
  <si>
    <t xml:space="preserve">Data Scientist (Oil &amp; Gas Industry)</t>
  </si>
  <si>
    <t xml:space="preserve">CodeByte (client)</t>
  </si>
  <si>
    <t xml:space="preserve">Oil &amp; Gas</t>
  </si>
  <si>
    <t xml:space="preserve">Contract (min 1 yr)</t>
  </si>
  <si>
    <t xml:space="preserve">5-8 years</t>
  </si>
  <si>
    <t xml:space="preserve">USD 2500-3000/month</t>
  </si>
  <si>
    <t xml:space="preserve">BeBee</t>
  </si>
  <si>
    <t xml:space="preserve">https://bebee.com/pk/jobs/role/data-scientist</t>
  </si>
  <si>
    <t xml:space="preserve">Department: Digital Transformation / Data &amp; Analytics</t>
  </si>
  <si>
    <t xml:space="preserve">Contract</t>
  </si>
  <si>
    <t xml:space="preserve">USD</t>
  </si>
  <si>
    <t xml:space="preserve">data scientist (oil &amp; gas industry) | department: digital transformation / data &amp; analytics | oil &amp; gas</t>
  </si>
  <si>
    <t xml:space="preserve">Deep Learning Specialist</t>
  </si>
  <si>
    <t xml:space="preserve">Translation Empire PK</t>
  </si>
  <si>
    <t xml:space="preserve">Image/text/signal data models</t>
  </si>
  <si>
    <t xml:space="preserve">deep learning specialist | image/text/signal data models | it services</t>
  </si>
  <si>
    <t xml:space="preserve">NLP Engineer</t>
  </si>
  <si>
    <t xml:space="preserve">Text classification, sentiment analysis</t>
  </si>
  <si>
    <t xml:space="preserve">nlp engineer | text classification, sentiment analysis | it services</t>
  </si>
  <si>
    <t xml:space="preserve">Analytics Engineer / BI Engineer</t>
  </si>
  <si>
    <t xml:space="preserve">Confidential (UK consultancy client)</t>
  </si>
  <si>
    <t xml:space="preserve">Reporting &amp; Data Platform</t>
  </si>
  <si>
    <t xml:space="preserve">analytics engineer / bi engineer | reporting &amp; data platform | consulting</t>
  </si>
  <si>
    <t xml:space="preserve">Senior Data Scientist</t>
  </si>
  <si>
    <t xml:space="preserve">NorthBay</t>
  </si>
  <si>
    <t xml:space="preserve">Hybrid, Full-time</t>
  </si>
  <si>
    <t xml:space="preserve">8+ years</t>
  </si>
  <si>
    <t xml:space="preserve">Data processing and visualization focus</t>
  </si>
  <si>
    <t xml:space="preserve">senior data scientist | data processing and visualization focus | technology</t>
  </si>
  <si>
    <t xml:space="preserve">Data Scientist (Machine Learning)</t>
  </si>
  <si>
    <t xml:space="preserve">Tata Consultancy Services</t>
  </si>
  <si>
    <t xml:space="preserve">5+ years</t>
  </si>
  <si>
    <t xml:space="preserve">https://www.glassdoor.com/Job/data-scientist-jobs-SRCH_IN192_KO0,14.htm</t>
  </si>
  <si>
    <t xml:space="preserve">Time series forecasting, anomaly detection</t>
  </si>
  <si>
    <t xml:space="preserve">data scientist (machine learning) | time series forecasting, anomaly detection | it services</t>
  </si>
  <si>
    <t xml:space="preserve">Fortray Global Services</t>
  </si>
  <si>
    <t xml:space="preserve">Project planning, data collection &amp; cleaning</t>
  </si>
  <si>
    <t xml:space="preserve">data scientist | project planning, data collection &amp; cleaning | it services</t>
  </si>
  <si>
    <t xml:space="preserve">Data Scientist/ML Engineer</t>
  </si>
  <si>
    <t xml:space="preserve">Soothsayer Analytics</t>
  </si>
  <si>
    <t xml:space="preserve">Analytics</t>
  </si>
  <si>
    <t xml:space="preserve">Python data processing</t>
  </si>
  <si>
    <t xml:space="preserve">data scientist/ml engineer | python data processing | analytics</t>
  </si>
  <si>
    <t xml:space="preserve">AI/Responsible AI Collaborator</t>
  </si>
  <si>
    <t xml:space="preserve">CureMD</t>
  </si>
  <si>
    <t xml:space="preserve">HealthTech</t>
  </si>
  <si>
    <t xml:space="preserve">Clinical experts + data scientists collaboration</t>
  </si>
  <si>
    <t xml:space="preserve">ai/responsible ai collaborator | clinical experts + data scientists collaboration | healthtech</t>
  </si>
  <si>
    <t xml:space="preserve">Data Collection Specialist</t>
  </si>
  <si>
    <t xml:space="preserve">DM Clinical Research</t>
  </si>
  <si>
    <t xml:space="preserve">Healthcare Research</t>
  </si>
  <si>
    <t xml:space="preserve">Model training operations support</t>
  </si>
  <si>
    <t xml:space="preserve">data collection specialist | model training operations support | healthcare research</t>
  </si>
  <si>
    <t xml:space="preserve">Python Developer - Machine Learning</t>
  </si>
  <si>
    <t xml:space="preserve">King Revolution Inc</t>
  </si>
  <si>
    <t xml:space="preserve">Large dataset preprocessing</t>
  </si>
  <si>
    <t xml:space="preserve">python developer - machine learning | large dataset preprocessing | it services</t>
  </si>
  <si>
    <t xml:space="preserve">Senior Power BI Developer</t>
  </si>
  <si>
    <t xml:space="preserve">VentureDive</t>
  </si>
  <si>
    <t xml:space="preserve">Indeed Pakistan</t>
  </si>
  <si>
    <t xml:space="preserve">https://pk.indeed.com/q-power-bi-developer-l-karachi-jobs.html</t>
  </si>
  <si>
    <t xml:space="preserve">PL-300 / DP-500 certification preferred</t>
  </si>
  <si>
    <t xml:space="preserve">senior power bi developer | pl-300 / dp-500 certification preferred | it services</t>
  </si>
  <si>
    <t xml:space="preserve">Data Analyst - Mid level (Urgent)</t>
  </si>
  <si>
    <t xml:space="preserve">Ibix Global Tech</t>
  </si>
  <si>
    <t xml:space="preserve">Mid level</t>
  </si>
  <si>
    <t xml:space="preserve">https://pk.indeed.com/q-power-bi-l-karachi-jobs.html</t>
  </si>
  <si>
    <t xml:space="preserve">data analyst - mid level (urgent) |  | it services</t>
  </si>
  <si>
    <t xml:space="preserve">Power BI Developer</t>
  </si>
  <si>
    <t xml:space="preserve">Systems Limited</t>
  </si>
  <si>
    <t xml:space="preserve">End-to-end dashboard lifecycle</t>
  </si>
  <si>
    <t xml:space="preserve">power bi developer | end-to-end dashboard lifecycle | it services</t>
  </si>
  <si>
    <t xml:space="preserve">Data &amp; Reporting Analyst</t>
  </si>
  <si>
    <t xml:space="preserve">PwC</t>
  </si>
  <si>
    <t xml:space="preserve">data &amp; reporting analyst |  | consulting</t>
  </si>
  <si>
    <t xml:space="preserve">Data Analysis - Production Insights</t>
  </si>
  <si>
    <t xml:space="preserve">Ana &amp; Batla Industries Pvt Ltd</t>
  </si>
  <si>
    <t xml:space="preserve">Karachi (Landhi Colony)</t>
  </si>
  <si>
    <t xml:space="preserve">Mon-Fri 9-6, Sat 9-1</t>
  </si>
  <si>
    <t xml:space="preserve">data analysis - production insights | mon-fri 9-6, sat 9-1 | manufacturing</t>
  </si>
  <si>
    <t xml:space="preserve">Data Analyst - Apparel Retail</t>
  </si>
  <si>
    <t xml:space="preserve">Garments company (name withheld in listing)</t>
  </si>
  <si>
    <t xml:space="preserve">Retail/Apparel</t>
  </si>
  <si>
    <t xml:space="preserve">3-5 years</t>
  </si>
  <si>
    <t xml:space="preserve">Bachelor's in Data Science/Statistics/Business Analytics preferred</t>
  </si>
  <si>
    <t xml:space="preserve">data analyst - apparel retail | bachelor's in data science/statistics/business analytics preferred | retail/apparel</t>
  </si>
  <si>
    <t xml:space="preserve">Research Intern</t>
  </si>
  <si>
    <t xml:space="preserve">Louis Dreyfus Company</t>
  </si>
  <si>
    <t xml:space="preserve">Agri-Commodities</t>
  </si>
  <si>
    <t xml:space="preserve">Internship</t>
  </si>
  <si>
    <t xml:space="preserve">Student/fresh grad</t>
  </si>
  <si>
    <t xml:space="preserve">research intern |  | agri-commodities</t>
  </si>
  <si>
    <t xml:space="preserve">Software Developer</t>
  </si>
  <si>
    <t xml:space="preserve">Aga Khan Health Service Pakistan</t>
  </si>
  <si>
    <t xml:space="preserve">Healthcare</t>
  </si>
  <si>
    <t xml:space="preserve">2026-05-11</t>
  </si>
  <si>
    <t xml:space="preserve">https://pk.indeed.com/q-power-bi-l-karachi-gulshan-e-iqbal-jobs.html</t>
  </si>
  <si>
    <t xml:space="preserve">software developer |  | healthcare</t>
  </si>
  <si>
    <t xml:space="preserve">Power BI Developer / BI Analyst</t>
  </si>
  <si>
    <t xml:space="preserve">2-4 years</t>
  </si>
  <si>
    <t xml:space="preserve">power bi developer / bi analyst |  | it services</t>
  </si>
  <si>
    <t xml:space="preserve">Pivotize Consulting</t>
  </si>
  <si>
    <t xml:space="preserve">BI team member</t>
  </si>
  <si>
    <t xml:space="preserve">senior power bi developer | bi team member | consulting</t>
  </si>
  <si>
    <t xml:space="preserve">Power BI Business Intelligence Analyst</t>
  </si>
  <si>
    <t xml:space="preserve">Provox Global Solutions</t>
  </si>
  <si>
    <t xml:space="preserve">2026-06-25</t>
  </si>
  <si>
    <t xml:space="preserve">https://pk.indeed.com/q-bi-business-intelligence-analyst-jobs.html</t>
  </si>
  <si>
    <t xml:space="preserve">Fire protection services client; QuickBooks + Inspect Point data</t>
  </si>
  <si>
    <t xml:space="preserve">power bi business intelligence analyst | fire protection services client; quickbooks + inspect point data | consulting</t>
  </si>
  <si>
    <t xml:space="preserve">Jeeny</t>
  </si>
  <si>
    <t xml:space="preserve">Ride-hailing/Tech</t>
  </si>
  <si>
    <t xml:space="preserve">business intelligence analyst |  | ride-hailing/tech</t>
  </si>
  <si>
    <t xml:space="preserve">Business Intelligence Developer</t>
  </si>
  <si>
    <t xml:space="preserve">BGBx</t>
  </si>
  <si>
    <t xml:space="preserve">business intelligence developer |  | technology</t>
  </si>
  <si>
    <t xml:space="preserve">Microsoft Power BI Developer</t>
  </si>
  <si>
    <t xml:space="preserve">Müller's Solutions</t>
  </si>
  <si>
    <t xml:space="preserve">microsoft power bi developer |  | it services</t>
  </si>
  <si>
    <t xml:space="preserve">MTBC</t>
  </si>
  <si>
    <t xml:space="preserve">Healthcare IT</t>
  </si>
  <si>
    <t xml:space="preserve">24-hour SLA ad hoc decision support</t>
  </si>
  <si>
    <t xml:space="preserve">bi developer | 24-hour sla ad hoc decision support | healthcare it</t>
  </si>
  <si>
    <t xml:space="preserve">business intelligence developer |  | it services</t>
  </si>
  <si>
    <t xml:space="preserve">HRSG SSP</t>
  </si>
  <si>
    <t xml:space="preserve">Sahiwal</t>
  </si>
  <si>
    <t xml:space="preserve">power bi developer |  | it services</t>
  </si>
  <si>
    <t xml:space="preserve">Lloyds Technology Centre</t>
  </si>
  <si>
    <t xml:space="preserve">Hyderabad</t>
  </si>
  <si>
    <t xml:space="preserve">Banking/Fintech</t>
  </si>
  <si>
    <t xml:space="preserve">DAX measures, KPI time-intelligence</t>
  </si>
  <si>
    <t xml:space="preserve">business intelligence developer | dax measures, kpi time-intelligence | banking/fintech</t>
  </si>
  <si>
    <t xml:space="preserve">Dynamics 365 Developer (Power BI Experience)</t>
  </si>
  <si>
    <t xml:space="preserve">H2O Labs</t>
  </si>
  <si>
    <t xml:space="preserve">dynamics 365 developer (power bi experience) |  | it services</t>
  </si>
  <si>
    <t xml:space="preserve">Financial &amp; Data Analyst</t>
  </si>
  <si>
    <t xml:space="preserve">Pavago (client)</t>
  </si>
  <si>
    <t xml:space="preserve">Full-time, Remote</t>
  </si>
  <si>
    <t xml:space="preserve">2025-12-22</t>
  </si>
  <si>
    <t xml:space="preserve">https://pk.indeed.com/q-power-bi-jobs.html</t>
  </si>
  <si>
    <t xml:space="preserve">US client business hours</t>
  </si>
  <si>
    <t xml:space="preserve">financial &amp; data analyst | us client business hours | consulting</t>
  </si>
  <si>
    <t xml:space="preserve">Full Stack Developer - PostgreSQL/Big Data/AI</t>
  </si>
  <si>
    <t xml:space="preserve">The Garcia Team</t>
  </si>
  <si>
    <t xml:space="preserve">100M+ records processing</t>
  </si>
  <si>
    <t xml:space="preserve">full stack developer - postgresql/big data/ai | 100m+ records processing | it services</t>
  </si>
  <si>
    <t xml:space="preserve">Digital Business Analyst</t>
  </si>
  <si>
    <t xml:space="preserve">Lahore (Remote)</t>
  </si>
  <si>
    <t xml:space="preserve">digital business analyst | us client business hours | it services</t>
  </si>
  <si>
    <t xml:space="preserve">AI &amp; Data Science Strategy Associate Consultant</t>
  </si>
  <si>
    <t xml:space="preserve">Ontrac Solutions</t>
  </si>
  <si>
    <t xml:space="preserve">Mid-level</t>
  </si>
  <si>
    <t xml:space="preserve">ai &amp; data science strategy associate consultant |  | consulting</t>
  </si>
  <si>
    <t xml:space="preserve">Robust Support &amp; Solutions</t>
  </si>
  <si>
    <t xml:space="preserve">https://www.glassdoor.com/Job/kar%C4%81chi-power-bi-jobs-SRCH_IL.0,7_IC3212296_KO8,16.htm</t>
  </si>
  <si>
    <t xml:space="preserve">Production Reporting Specialist (Data Analysis)</t>
  </si>
  <si>
    <t xml:space="preserve">production reporting specialist (data analysis) |  | manufacturing</t>
  </si>
  <si>
    <t xml:space="preserve">Sr. Power BI Developer (Remote)</t>
  </si>
  <si>
    <t xml:space="preserve">Code Creators</t>
  </si>
  <si>
    <t xml:space="preserve">2025-10</t>
  </si>
  <si>
    <t xml:space="preserve">https://www.glassdoor.com/Job/pakistan-bi-jobs-SRCH_IL.0,8_IN192_KO9,11.htm</t>
  </si>
  <si>
    <t xml:space="preserve">2025-10-01</t>
  </si>
  <si>
    <t xml:space="preserve">sr. power bi developer (remote) |  | it services</t>
  </si>
  <si>
    <t xml:space="preserve">Aricrypta</t>
  </si>
  <si>
    <t xml:space="preserve">Fintech/Crypto</t>
  </si>
  <si>
    <t xml:space="preserve">power bi expert |  | fintech/crypto</t>
  </si>
  <si>
    <t xml:space="preserve">Careem</t>
  </si>
  <si>
    <t xml:space="preserve">Careem Analytics team</t>
  </si>
  <si>
    <t xml:space="preserve">data analyst | careem analytics team | ride-hailing/tech</t>
  </si>
  <si>
    <t xml:space="preserve">Junior Data Engineer (SQL/ETL)</t>
  </si>
  <si>
    <t xml:space="preserve">Prima Systems</t>
  </si>
  <si>
    <t xml:space="preserve">Junior</t>
  </si>
  <si>
    <t xml:space="preserve">2026-06-02</t>
  </si>
  <si>
    <t xml:space="preserve">https://pk.indeed.com/q-data-engineer-jobs.html</t>
  </si>
  <si>
    <t xml:space="preserve">junior data engineer (sql/etl) |  | it services</t>
  </si>
  <si>
    <t xml:space="preserve">Python Engineer</t>
  </si>
  <si>
    <t xml:space="preserve">AI Superleague accelerated track</t>
  </si>
  <si>
    <t xml:space="preserve">python engineer | ai superleague accelerated track | it services</t>
  </si>
  <si>
    <t xml:space="preserve">Associate Data Engineer</t>
  </si>
  <si>
    <t xml:space="preserve">9D Technologies &amp; Imagination AI</t>
  </si>
  <si>
    <t xml:space="preserve">associate data engineer |  | it services</t>
  </si>
  <si>
    <t xml:space="preserve">Senior Data Engineer</t>
  </si>
  <si>
    <t xml:space="preserve">Aegasis Labs</t>
  </si>
  <si>
    <t xml:space="preserve">AWS/Azure/GCP experience</t>
  </si>
  <si>
    <t xml:space="preserve">senior data engineer | aws/azure/gcp experience | it services</t>
  </si>
  <si>
    <t xml:space="preserve">Data Engineer (Adobe AEP)</t>
  </si>
  <si>
    <t xml:space="preserve">TechBiz Global GmbH</t>
  </si>
  <si>
    <t xml:space="preserve">2026-06-19</t>
  </si>
  <si>
    <t xml:space="preserve">https://pk.indeed.com/q-data-engineer-l-islamabad-jobs.html</t>
  </si>
  <si>
    <t xml:space="preserve">data engineer (adobe aep) |  | it services</t>
  </si>
  <si>
    <t xml:space="preserve">Python Technologies</t>
  </si>
  <si>
    <t xml:space="preserve">data engineer |  | it services</t>
  </si>
  <si>
    <t xml:space="preserve">International Rescue Committee</t>
  </si>
  <si>
    <t xml:space="preserve">NGO</t>
  </si>
  <si>
    <t xml:space="preserve">data engineer |  | ngo</t>
  </si>
  <si>
    <t xml:space="preserve">Datamatics Technologies</t>
  </si>
  <si>
    <t xml:space="preserve">ETL/ELT workflows</t>
  </si>
  <si>
    <t xml:space="preserve">data engineer | etl/elt workflows | it services</t>
  </si>
  <si>
    <t xml:space="preserve">Trickle Up</t>
  </si>
  <si>
    <t xml:space="preserve">NGO/Development</t>
  </si>
  <si>
    <t xml:space="preserve">Data warehouse and lake design</t>
  </si>
  <si>
    <t xml:space="preserve">senior data engineer | data warehouse and lake design | ngo/development</t>
  </si>
  <si>
    <t xml:space="preserve">Darkroom</t>
  </si>
  <si>
    <t xml:space="preserve">Marketing Tech</t>
  </si>
  <si>
    <t xml:space="preserve">data engineer |  | marketing tech</t>
  </si>
  <si>
    <t xml:space="preserve">Senior Data Engineer &amp; Data Architect</t>
  </si>
  <si>
    <t xml:space="preserve">15+ years</t>
  </si>
  <si>
    <t xml:space="preserve">Data governance and catalog tools</t>
  </si>
  <si>
    <t xml:space="preserve">senior data engineer &amp; data architect | data governance and catalog tools | it services</t>
  </si>
  <si>
    <t xml:space="preserve">Macquarie Group Limited</t>
  </si>
  <si>
    <t xml:space="preserve">Financial Services</t>
  </si>
  <si>
    <t xml:space="preserve">2026-03</t>
  </si>
  <si>
    <t xml:space="preserve">https://www.glassdoor.com/Job/pakistan-data-engineer-jobs-SRCH_IL.0,8_IN192_KO9,22.htm</t>
  </si>
  <si>
    <t xml:space="preserve">Global financial services group, 31 markets</t>
  </si>
  <si>
    <t xml:space="preserve">2026-03-01</t>
  </si>
  <si>
    <t xml:space="preserve">data engineer | global financial services group, 31 markets | financial services</t>
  </si>
  <si>
    <t xml:space="preserve">Capgemini</t>
  </si>
  <si>
    <t xml:space="preserve">IT Consulting</t>
  </si>
  <si>
    <t xml:space="preserve">data engineer |  | it consulting</t>
  </si>
  <si>
    <t xml:space="preserve">data engineer |  | banking/fintech</t>
  </si>
  <si>
    <t xml:space="preserve">TCP Software</t>
  </si>
  <si>
    <t xml:space="preserve">InvoZone</t>
  </si>
  <si>
    <t xml:space="preserve">Tech Bridge Consultancy</t>
  </si>
  <si>
    <t xml:space="preserve">data engineer |  | consulting</t>
  </si>
  <si>
    <t xml:space="preserve">Aqovia</t>
  </si>
  <si>
    <t xml:space="preserve">PostEx</t>
  </si>
  <si>
    <t xml:space="preserve">Logistics/Fintech</t>
  </si>
  <si>
    <t xml:space="preserve">Associate</t>
  </si>
  <si>
    <t xml:space="preserve">2026-04-21</t>
  </si>
  <si>
    <t xml:space="preserve">https://bebee.com/pk/jobs/role/data-engineer</t>
  </si>
  <si>
    <t xml:space="preserve">SQL and Data Warehousing</t>
  </si>
  <si>
    <t xml:space="preserve">associate data engineer | sql and data warehousing | logistics/fintech</t>
  </si>
  <si>
    <t xml:space="preserve">Data Engineer - Infrastructure (Remote/Contract)</t>
  </si>
  <si>
    <t xml:space="preserve">Confidential client</t>
  </si>
  <si>
    <t xml:space="preserve">USD 30-100/hour</t>
  </si>
  <si>
    <t xml:space="preserve">Work from anywhere</t>
  </si>
  <si>
    <t xml:space="preserve">Hourly rate (excluded from monthly avg)</t>
  </si>
  <si>
    <t xml:space="preserve">data engineer - infrastructure (remote/contract) | work from anywhere | it services</t>
  </si>
  <si>
    <t xml:space="preserve">Data Engineer / BI Engineer Intern</t>
  </si>
  <si>
    <t xml:space="preserve">ETL/ELT pipeline support</t>
  </si>
  <si>
    <t xml:space="preserve">data engineer / bi engineer intern | etl/elt pipeline support | logistics/fintech</t>
  </si>
  <si>
    <t xml:space="preserve">CIRCLE Women Association</t>
  </si>
  <si>
    <t xml:space="preserve">NGO/Social Impact</t>
  </si>
  <si>
    <t xml:space="preserve">Platform team</t>
  </si>
  <si>
    <t xml:space="preserve">data engineer | platform team | ngo/social impact</t>
  </si>
  <si>
    <t xml:space="preserve">Senior Data Engineer / Data Engineer &amp; Analyst</t>
  </si>
  <si>
    <t xml:space="preserve">Confidential (UK real estate developer)</t>
  </si>
  <si>
    <t xml:space="preserve">Real Estate</t>
  </si>
  <si>
    <t xml:space="preserve">senior data engineer / data engineer &amp; analyst |  | real estate</t>
  </si>
  <si>
    <t xml:space="preserve">Data Engineer (Sr.)</t>
  </si>
  <si>
    <t xml:space="preserve">Sukuk Capital</t>
  </si>
  <si>
    <t xml:space="preserve">Fintech</t>
  </si>
  <si>
    <t xml:space="preserve">2025-12-06</t>
  </si>
  <si>
    <t xml:space="preserve">https://pk.indeed.com/Data-Engineer-jobs</t>
  </si>
  <si>
    <t xml:space="preserve">data engineer (sr.) |  | fintech</t>
  </si>
  <si>
    <t xml:space="preserve">Burq, Inc.</t>
  </si>
  <si>
    <t xml:space="preserve">Logistics/Tech</t>
  </si>
  <si>
    <t xml:space="preserve">data engineer |  | logistics/tech</t>
  </si>
  <si>
    <t xml:space="preserve">Principal Data Engineer - II</t>
  </si>
  <si>
    <t xml:space="preserve">Pakistan Single Window</t>
  </si>
  <si>
    <t xml:space="preserve">Government/Trade Tech</t>
  </si>
  <si>
    <t xml:space="preserve">Principal</t>
  </si>
  <si>
    <t xml:space="preserve">principal data engineer - ii |  | government/trade tech</t>
  </si>
  <si>
    <t xml:space="preserve">Data Engineer in Test</t>
  </si>
  <si>
    <t xml:space="preserve">Confiz</t>
  </si>
  <si>
    <t xml:space="preserve">data engineer in test |  | it services</t>
  </si>
  <si>
    <t xml:space="preserve">Data Engineer (Azure Platform)</t>
  </si>
  <si>
    <t xml:space="preserve">Algo</t>
  </si>
  <si>
    <t xml:space="preserve">data engineer (azure platform) |  | it services</t>
  </si>
  <si>
    <t xml:space="preserve">Data Scientist (Web Scraping FYP)</t>
  </si>
  <si>
    <t xml:space="preserve">Big Byte Insights</t>
  </si>
  <si>
    <t xml:space="preserve">Onsite, Full-time</t>
  </si>
  <si>
    <t xml:space="preserve">2026-03-19</t>
  </si>
  <si>
    <t xml:space="preserve">https://pk.indeed.com/q-data-engineer-job-in-lahore-l-lahore-jobs.html</t>
  </si>
  <si>
    <t xml:space="preserve">Final Year Project role</t>
  </si>
  <si>
    <t xml:space="preserve">data scientist (web scraping fyp) | final year project role | it services</t>
  </si>
  <si>
    <t xml:space="preserve">Data Engineer (4-5 Years)</t>
  </si>
  <si>
    <t xml:space="preserve">4-5 years</t>
  </si>
  <si>
    <t xml:space="preserve">Snowflake, Databricks</t>
  </si>
  <si>
    <t xml:space="preserve">data engineer (4-5 years) | snowflake, databricks | it services</t>
  </si>
  <si>
    <t xml:space="preserve">Data Research Analyst</t>
  </si>
  <si>
    <t xml:space="preserve">Business Services</t>
  </si>
  <si>
    <t xml:space="preserve">https://www.glassdoor.com/Job/pakistan-business-analyst-jobs-SRCH_IL.0,8_IN192_KO9,25.htm</t>
  </si>
  <si>
    <t xml:space="preserve">Business development support</t>
  </si>
  <si>
    <t xml:space="preserve">data research analyst | business development support | business services</t>
  </si>
  <si>
    <t xml:space="preserve">Business Analyst</t>
  </si>
  <si>
    <t xml:space="preserve">TPS Pakistan Pvt. Limited</t>
  </si>
  <si>
    <t xml:space="preserve">Fintech/Payments</t>
  </si>
  <si>
    <t xml:space="preserve">2+ years</t>
  </si>
  <si>
    <t xml:space="preserve">Agile methodology, sprint planning</t>
  </si>
  <si>
    <t xml:space="preserve">business analyst | agile methodology, sprint planning | fintech/payments</t>
  </si>
  <si>
    <t xml:space="preserve">Business Analyst - Equities Trading Platform</t>
  </si>
  <si>
    <t xml:space="preserve">Fintech/Trading</t>
  </si>
  <si>
    <t xml:space="preserve">3-6 years</t>
  </si>
  <si>
    <t xml:space="preserve">https://www.glassdoor.com/Job/karachi-business-analyst-jobs-SRCH_IL.0,7_IM1122_KO8,24.htm</t>
  </si>
  <si>
    <t xml:space="preserve">Equities/options/FX trading domain</t>
  </si>
  <si>
    <t xml:space="preserve">business analyst - equities trading platform | equities/options/fx trading domain | fintech/trading</t>
  </si>
  <si>
    <t xml:space="preserve">Business Analyst (AI and Blockchain)</t>
  </si>
  <si>
    <t xml:space="preserve">Perks HR Pvt. Ltd.</t>
  </si>
  <si>
    <t xml:space="preserve">HR/Staffing</t>
  </si>
  <si>
    <t xml:space="preserve">Onsite/Remote</t>
  </si>
  <si>
    <t xml:space="preserve">business analyst (ai and blockchain) |  | hr/staffing</t>
  </si>
  <si>
    <t xml:space="preserve">Right Solution</t>
  </si>
  <si>
    <t xml:space="preserve">Business requirements to technical specs</t>
  </si>
  <si>
    <t xml:space="preserve">business analyst | business requirements to technical specs | it services</t>
  </si>
  <si>
    <t xml:space="preserve">Business Analyst - Remote Pakistan</t>
  </si>
  <si>
    <t xml:space="preserve">Techsurge Pvt. Ltd.</t>
  </si>
  <si>
    <t xml:space="preserve">2026-04-08</t>
  </si>
  <si>
    <t xml:space="preserve">https://pk.indeed.com/q-business-analyst-jobs.html</t>
  </si>
  <si>
    <t xml:space="preserve">Transaction Banking domain</t>
  </si>
  <si>
    <t xml:space="preserve">business analyst - remote pakistan | transaction banking domain | it services</t>
  </si>
  <si>
    <t xml:space="preserve">Junior Data Analyst</t>
  </si>
  <si>
    <t xml:space="preserve">A2 Business Consulting LLC</t>
  </si>
  <si>
    <t xml:space="preserve">US-based business data validation</t>
  </si>
  <si>
    <t xml:space="preserve">junior data analyst | us-based business data validation | consulting</t>
  </si>
  <si>
    <t xml:space="preserve">GRID Systems (PVT) Ltd.</t>
  </si>
  <si>
    <t xml:space="preserve">4-6 years</t>
  </si>
  <si>
    <t xml:space="preserve">Business process documentation/workflow</t>
  </si>
  <si>
    <t xml:space="preserve">business analyst | business process documentation/workflow | it services</t>
  </si>
  <si>
    <t xml:space="preserve">Business Intelligence (BI) Analyst</t>
  </si>
  <si>
    <t xml:space="preserve">MonetizeMore</t>
  </si>
  <si>
    <t xml:space="preserve">AdTech</t>
  </si>
  <si>
    <t xml:space="preserve">Remote-first</t>
  </si>
  <si>
    <t xml:space="preserve">2026-04</t>
  </si>
  <si>
    <t xml:space="preserve">https://www.glassdoor.com/Job/pakistan-it-business-analyst-jobs-SRCH_IL.0,8_IN192_KO9,28.htm</t>
  </si>
  <si>
    <t xml:space="preserve">Ad monetization technology company</t>
  </si>
  <si>
    <t xml:space="preserve">2026-04-01</t>
  </si>
  <si>
    <t xml:space="preserve">business intelligence (bi) analyst | ad monetization technology company | adtech</t>
  </si>
  <si>
    <t xml:space="preserve">f5</t>
  </si>
  <si>
    <t xml:space="preserve">business analyst |  | technology</t>
  </si>
  <si>
    <t xml:space="preserve">business analyst |  | it services</t>
  </si>
  <si>
    <t xml:space="preserve">S&amp;P Global</t>
  </si>
  <si>
    <t xml:space="preserve">2026-03-06</t>
  </si>
  <si>
    <t xml:space="preserve">https://www.glassdoor.com/Job/pakistan-entry-level-business-analyst-jobs-SRCH_IL.0,8_IN192_KO9,37.htm</t>
  </si>
  <si>
    <t xml:space="preserve">Job ID 326685; Excel-based financial modeling internship</t>
  </si>
  <si>
    <t xml:space="preserve">business analyst | job id 326685; excel-based financial modeling internship | financial services</t>
  </si>
  <si>
    <t xml:space="preserve">Data Analyst - hospitality/F&amp;B</t>
  </si>
  <si>
    <t xml:space="preserve">World Business Lenders / Inspire Builders</t>
  </si>
  <si>
    <t xml:space="preserve">Hospitality/F&amp;B</t>
  </si>
  <si>
    <t xml:space="preserve">data analyst - hospitality/f&amp;b |  | hospitality/f&amp;b</t>
  </si>
  <si>
    <t xml:space="preserve">Head of Inventory Planning &amp; Forecasting</t>
  </si>
  <si>
    <t xml:space="preserve">Chai Vision</t>
  </si>
  <si>
    <t xml:space="preserve">F&amp;B/Retail</t>
  </si>
  <si>
    <t xml:space="preserve">Manager level</t>
  </si>
  <si>
    <t xml:space="preserve">Demand planning team lead</t>
  </si>
  <si>
    <t xml:space="preserve">head of inventory planning &amp; forecasting | demand planning team lead | f&amp;b/retail</t>
  </si>
  <si>
    <t xml:space="preserve">SQL, Power BI, SSAS cubes</t>
  </si>
  <si>
    <t xml:space="preserve">data analyst | sql, power bi, ssas cubes | ride-hailing/tech</t>
  </si>
  <si>
    <t xml:space="preserve">Data Analyst (European market data)</t>
  </si>
  <si>
    <t xml:space="preserve">Cobblestone Energy</t>
  </si>
  <si>
    <t xml:space="preserve">Energy Trading</t>
  </si>
  <si>
    <t xml:space="preserve">Canonical data models for European markets</t>
  </si>
  <si>
    <t xml:space="preserve">data analyst (european market data) | canonical data models for european markets | energy trading</t>
  </si>
  <si>
    <t xml:space="preserve">Business Analyst (SCM &amp; WMS) - Night Shift</t>
  </si>
  <si>
    <t xml:space="preserve">Eplanet Global</t>
  </si>
  <si>
    <t xml:space="preserve">Karachi (Bahadurabad)</t>
  </si>
  <si>
    <t xml:space="preserve">Full-time, Night shift</t>
  </si>
  <si>
    <t xml:space="preserve">2026-05-23</t>
  </si>
  <si>
    <t xml:space="preserve">https://bebee.com/pk/jobs/role/business-analyst</t>
  </si>
  <si>
    <t xml:space="preserve">Supply Chain/Warehouse Mgmt System</t>
  </si>
  <si>
    <t xml:space="preserve">business analyst (scm &amp; wms) - night shift | supply chain/warehouse mgmt system | it services</t>
  </si>
  <si>
    <t xml:space="preserve">Expert Business Analyst</t>
  </si>
  <si>
    <t xml:space="preserve">Jazz (Teknosys)</t>
  </si>
  <si>
    <t xml:space="preserve">Telecom</t>
  </si>
  <si>
    <t xml:space="preserve">Grade L2</t>
  </si>
  <si>
    <t xml:space="preserve">Apply deadline 25 May 2026</t>
  </si>
  <si>
    <t xml:space="preserve">expert business analyst | apply deadline 25 may 2026 | telecom</t>
  </si>
  <si>
    <t xml:space="preserve">BlinkSwag</t>
  </si>
  <si>
    <t xml:space="preserve">Retail/Branded Merchandise</t>
  </si>
  <si>
    <t xml:space="preserve">Permanent, Full-Time</t>
  </si>
  <si>
    <t xml:space="preserve">business analyst |  | retail/branded merchandise</t>
  </si>
  <si>
    <t xml:space="preserve">IT Business Analyst - Financial Applications</t>
  </si>
  <si>
    <t xml:space="preserve">Infotech (client)</t>
  </si>
  <si>
    <t xml:space="preserve">Gap analysis, requirements gathering</t>
  </si>
  <si>
    <t xml:space="preserve">it business analyst - financial applications | gap analysis, requirements gathering | it services</t>
  </si>
  <si>
    <t xml:space="preserve">Senior Business Analyst</t>
  </si>
  <si>
    <t xml:space="preserve">noon</t>
  </si>
  <si>
    <t xml:space="preserve">E-commerce</t>
  </si>
  <si>
    <t xml:space="preserve">Reports to Manager - Analytics</t>
  </si>
  <si>
    <t xml:space="preserve">senior business analyst | reports to manager - analytics | e-commerce</t>
  </si>
  <si>
    <t xml:space="preserve">Software Engineer - Oracle Apex Developer</t>
  </si>
  <si>
    <t xml:space="preserve">Multi-Techno Integrated Solutions</t>
  </si>
  <si>
    <t xml:space="preserve">Faisalabad</t>
  </si>
  <si>
    <t xml:space="preserve">2026-04-03</t>
  </si>
  <si>
    <t xml:space="preserve">https://pk.indeed.com/q-sql-developer-l-faisalabad-jobs.html</t>
  </si>
  <si>
    <t xml:space="preserve">PL/SQL, SQL</t>
  </si>
  <si>
    <t xml:space="preserve">software engineer - oracle apex developer | pl/sql, sql | it services</t>
  </si>
  <si>
    <t xml:space="preserve">Front End Developer</t>
  </si>
  <si>
    <t xml:space="preserve">Brickclay</t>
  </si>
  <si>
    <t xml:space="preserve">front end developer |  | it services</t>
  </si>
  <si>
    <t xml:space="preserve">ERP Developer (Frappe/ERPNext)</t>
  </si>
  <si>
    <t xml:space="preserve">Shark Lab</t>
  </si>
  <si>
    <t xml:space="preserve">Lahore/Karachi/Faisalabad</t>
  </si>
  <si>
    <t xml:space="preserve">https://bebee.com/pk/jobs/role/software-engineer/faisalabad</t>
  </si>
  <si>
    <t xml:space="preserve">Multiple PK locations</t>
  </si>
  <si>
    <t xml:space="preserve">erp developer (frappe/erpnext) | multiple pk locations | it services</t>
  </si>
  <si>
    <t xml:space="preserve">MERN Stack Developer</t>
  </si>
  <si>
    <t xml:space="preserve">Full-time, Onsite</t>
  </si>
  <si>
    <t xml:space="preserve">1-3 years</t>
  </si>
  <si>
    <t xml:space="preserve">mern stack developer |  | it services</t>
  </si>
  <si>
    <t xml:space="preserve">Principal Database Architect &amp; Optimization Engineer</t>
  </si>
  <si>
    <t xml:space="preserve">2025-11-27</t>
  </si>
  <si>
    <t xml:space="preserve">https://pk.indeed.com/q-database-sql-l-karachi-jobs.html</t>
  </si>
  <si>
    <t xml:space="preserve">principal database architect &amp; optimization engineer |  | government/trade tech</t>
  </si>
  <si>
    <t xml:space="preserve">System Analyst (Java Development)</t>
  </si>
  <si>
    <t xml:space="preserve">FWU AG</t>
  </si>
  <si>
    <t xml:space="preserve">Insurance/Fintech</t>
  </si>
  <si>
    <t xml:space="preserve">SQL Server relational database</t>
  </si>
  <si>
    <t xml:space="preserve">system analyst (java development) | sql server relational database | insurance/fintech</t>
  </si>
  <si>
    <t xml:space="preserve">Software Engineer (.Net)</t>
  </si>
  <si>
    <t xml:space="preserve">Think Digitally Pvt. Ltd</t>
  </si>
  <si>
    <t xml:space="preserve">Karachi (Shahra-e-Faisal)</t>
  </si>
  <si>
    <t xml:space="preserve">.NET Core, JavaScript, ASP</t>
  </si>
  <si>
    <t xml:space="preserve">software engineer (.net) | .net core, javascript, asp | it services</t>
  </si>
  <si>
    <t xml:space="preserve">Sr. Software Engineer (Remote)</t>
  </si>
  <si>
    <t xml:space="preserve">sr. software engineer (remote) |  | government/trade tech</t>
  </si>
  <si>
    <t xml:space="preserve">Database Manager</t>
  </si>
  <si>
    <t xml:space="preserve">VRG Pvt. Ltd.</t>
  </si>
  <si>
    <t xml:space="preserve">MySQL, Oracle</t>
  </si>
  <si>
    <t xml:space="preserve">database manager | mysql, oracle | it services</t>
  </si>
  <si>
    <t xml:space="preserve">Software Engineer - .NET</t>
  </si>
  <si>
    <t xml:space="preserve">Associate level</t>
  </si>
  <si>
    <t xml:space="preserve">Server application development</t>
  </si>
  <si>
    <t xml:space="preserve">software engineer - .net | server application development | it services</t>
  </si>
  <si>
    <t xml:space="preserve">Lead Software Engineer - WeBOC 2.0</t>
  </si>
  <si>
    <t xml:space="preserve">SQL Server queries/stored procedures</t>
  </si>
  <si>
    <t xml:space="preserve">lead software engineer - weboc 2.0 | sql server queries/stored procedures | government/trade tech</t>
  </si>
  <si>
    <t xml:space="preserve">Unit Head Database Administration</t>
  </si>
  <si>
    <t xml:space="preserve">HBL</t>
  </si>
  <si>
    <t xml:space="preserve">12+ years (4+ leadership)</t>
  </si>
  <si>
    <t xml:space="preserve">2025-06-26</t>
  </si>
  <si>
    <t xml:space="preserve">https://pk.indeed.com/q-sql-server-jobs.html</t>
  </si>
  <si>
    <t xml:space="preserve">unit head database administration |  | banking</t>
  </si>
  <si>
    <t xml:space="preserve">Data Warehouse Engineer / SQL Consultant</t>
  </si>
  <si>
    <t xml:space="preserve">Azure Cloud technologies</t>
  </si>
  <si>
    <t xml:space="preserve">data warehouse engineer / sql consultant | azure cloud technologies | fintech/crypto</t>
  </si>
  <si>
    <t xml:space="preserve">Junior Software Developer (WinForms)</t>
  </si>
  <si>
    <t xml:space="preserve">junior software developer (winforms) |  | it services</t>
  </si>
  <si>
    <t xml:space="preserve">Trainee Software Developer</t>
  </si>
  <si>
    <t xml:space="preserve">T-SQL / PL-SQL</t>
  </si>
  <si>
    <t xml:space="preserve">trainee software developer | t-sql / pl-sql | it services</t>
  </si>
  <si>
    <t xml:space="preserve">Senior Software Developer (SQL Server + VB.NET)</t>
  </si>
  <si>
    <t xml:space="preserve">4-5 star hotel clients North America/Caribbean/Europe/Asia</t>
  </si>
  <si>
    <t xml:space="preserve">senior software developer (sql server + vb.net) | 4-5 star hotel clients north america/caribbean/europe/asia | it services</t>
  </si>
  <si>
    <t xml:space="preserve">Senior Cloud Engineer (GCP, Networks &amp; Server)</t>
  </si>
  <si>
    <t xml:space="preserve">MicroAgility Services</t>
  </si>
  <si>
    <t xml:space="preserve">senior cloud engineer (gcp, networks &amp; server) |  | it services</t>
  </si>
  <si>
    <t xml:space="preserve">Associate Software Architect</t>
  </si>
  <si>
    <t xml:space="preserve">CureMD Healthcare</t>
  </si>
  <si>
    <t xml:space="preserve">associate software architect |  | healthtech</t>
  </si>
  <si>
    <t xml:space="preserve">SQL Developer</t>
  </si>
  <si>
    <t xml:space="preserve">Coforge Ltd.</t>
  </si>
  <si>
    <t xml:space="preserve">2026-07-02</t>
  </si>
  <si>
    <t xml:space="preserve">https://pk.indeed.com/q-sql-pl-sql-developer-jobs.html</t>
  </si>
  <si>
    <t xml:space="preserve">Snowflake cloud database</t>
  </si>
  <si>
    <t xml:space="preserve">sql developer | snowflake cloud database | it services</t>
  </si>
  <si>
    <t xml:space="preserve">Database Administrator (DBA)</t>
  </si>
  <si>
    <t xml:space="preserve">The Shams Group, LLC</t>
  </si>
  <si>
    <t xml:space="preserve">database administrator (dba) |  | it services</t>
  </si>
  <si>
    <t xml:space="preserve">The Risk Advisors</t>
  </si>
  <si>
    <t xml:space="preserve">software developer |  | consulting</t>
  </si>
  <si>
    <t xml:space="preserve">.Net Core Developer (Intern)</t>
  </si>
  <si>
    <t xml:space="preserve">Mazen Pakistan PVT Ltd.</t>
  </si>
  <si>
    <t xml:space="preserve">https://pk.indeed.com/q-sql-developer-l-karachi-jobs.html</t>
  </si>
  <si>
    <t xml:space="preserve">SQL and NoSQL databases</t>
  </si>
  <si>
    <t xml:space="preserve">.net core developer (intern) | sql and nosql databases | it services</t>
  </si>
  <si>
    <t xml:space="preserve">Full Stack Web Developer</t>
  </si>
  <si>
    <t xml:space="preserve">Chapal</t>
  </si>
  <si>
    <t xml:space="preserve">Mon-Sat 10am-7pm</t>
  </si>
  <si>
    <t xml:space="preserve">full stack web developer | mon-sat 10am-7pm | it services</t>
  </si>
  <si>
    <t xml:space="preserve">QA Engineer - Manual</t>
  </si>
  <si>
    <t xml:space="preserve">qa engineer - manual |  | it services</t>
  </si>
  <si>
    <t xml:space="preserve">Senior Full Stack Developer</t>
  </si>
  <si>
    <t xml:space="preserve">Enterprise64</t>
  </si>
  <si>
    <t xml:space="preserve">Backend APIs + frontend</t>
  </si>
  <si>
    <t xml:space="preserve">senior full stack developer | backend apis + frontend | it services</t>
  </si>
  <si>
    <t xml:space="preserve">National Labour Market Context (Official PBS Data)</t>
  </si>
  <si>
    <t xml:space="preserve">Indicator</t>
  </si>
  <si>
    <t xml:space="preserve">Value</t>
  </si>
  <si>
    <t xml:space="preserve">Unit</t>
  </si>
  <si>
    <t xml:space="preserve">Period</t>
  </si>
  <si>
    <t xml:space="preserve">Source</t>
  </si>
  <si>
    <t xml:space="preserve">Overall unemployment rate</t>
  </si>
  <si>
    <t xml:space="preserve">percent</t>
  </si>
  <si>
    <t xml:space="preserve">2024-25</t>
  </si>
  <si>
    <t xml:space="preserve">Pakistan Bureau of Statistics - Labour Force Survey 2024-25</t>
  </si>
  <si>
    <t xml:space="preserve">Previous unemployment rate</t>
  </si>
  <si>
    <t xml:space="preserve">2020-21</t>
  </si>
  <si>
    <t xml:space="preserve">Pakistan Bureau of Statistics - Labour Force Survey 2020-21</t>
  </si>
  <si>
    <t xml:space="preserve">Female unemployment rate</t>
  </si>
  <si>
    <t xml:space="preserve">Labour Force Participation Rate (LFPR)</t>
  </si>
  <si>
    <t xml:space="preserve">Pakistan Bureau of Statistics - Labour Force Survey 2024-25 (13th ICLS)</t>
  </si>
  <si>
    <t xml:space="preserve">Previous LFPR</t>
  </si>
  <si>
    <t xml:space="preserve">Services sector share of employment</t>
  </si>
  <si>
    <t xml:space="preserve">2024</t>
  </si>
  <si>
    <t xml:space="preserve">Government of Pakistan - Planning Commission press release</t>
  </si>
  <si>
    <t xml:space="preserve">Agriculture sector share of employment</t>
  </si>
  <si>
    <t xml:space="preserve">Previous agriculture sector share</t>
  </si>
  <si>
    <t xml:space="preserve">2021</t>
  </si>
  <si>
    <t xml:space="preserve">Average monthly wage</t>
  </si>
  <si>
    <t xml:space="preserve">Previous average monthly wage</t>
  </si>
  <si>
    <t xml:space="preserve">2013 baseline</t>
  </si>
  <si>
    <t xml:space="preserve">Gender wage gap</t>
  </si>
  <si>
    <t xml:space="preserve">PKR per month</t>
  </si>
  <si>
    <t xml:space="preserve">Previous gender wage gap</t>
  </si>
  <si>
    <t xml:space="preserve">Youth (15-24) unemployment rate</t>
  </si>
  <si>
    <t xml:space="preserve">World Bank unemployment rate estimate</t>
  </si>
  <si>
    <t xml:space="preserve">World Bank via Statista</t>
  </si>
  <si>
    <t xml:space="preserve">Households surveyed for LFS 2024-25</t>
  </si>
  <si>
    <t xml:space="preserve">households</t>
  </si>
  <si>
    <t xml:space="preserve">Sample vs National Comparison</t>
  </si>
  <si>
    <t xml:space="preserve">Metric</t>
  </si>
  <si>
    <t xml:space="preserve">Our Sample (155 listings)</t>
  </si>
  <si>
    <t xml:space="preserve">Context / Note</t>
  </si>
  <si>
    <t xml:space="preserve">Salary transparency (% listings disclosing salary in any form)</t>
  </si>
  <si>
    <t xml:space="preserve">Reflects same wage-opacity pattern as Pakistan's large informal labour sector (agriculture 33.1% + informal services)</t>
  </si>
  <si>
    <t xml:space="preserve">City-wise Job Listing Distribution</t>
  </si>
  <si>
    <t xml:space="preserve">City</t>
  </si>
  <si>
    <t xml:space="preserve">Number of Listings</t>
  </si>
  <si>
    <t xml:space="preserve">Total</t>
  </si>
  <si>
    <t xml:space="preserve">Platform-wise Listing Source</t>
  </si>
  <si>
    <t xml:space="preserve">Platform</t>
  </si>
  <si>
    <t xml:space="preserve">Work Mode &amp; Experience Level Distribution</t>
  </si>
  <si>
    <t xml:space="preserve">Work Mode</t>
  </si>
  <si>
    <t xml:space="preserve">Count</t>
  </si>
  <si>
    <t xml:space="preserve">Experience Level</t>
  </si>
  <si>
    <t xml:space="preserve">Salary Disclosure Analysis</t>
  </si>
  <si>
    <t xml:space="preserve">Total Listings</t>
  </si>
  <si>
    <t xml:space="preserve">Salary Disclosed (any form)</t>
  </si>
  <si>
    <t xml:space="preserve">Salary Not Disclosed</t>
  </si>
  <si>
    <t xml:space="preserve">% Disclosed</t>
  </si>
  <si>
    <t xml:space="preserve">PKR listings with usable monthly figure</t>
  </si>
  <si>
    <t xml:space="preserve">USD listings with usable monthly figure</t>
  </si>
  <si>
    <t xml:space="preserve">Average Disclosed Monthly Salary - PKR only</t>
  </si>
  <si>
    <t xml:space="preserve">Min Disclosed Monthly Salary - PKR only</t>
  </si>
  <si>
    <t xml:space="preserve">Max Disclosed Monthly Salary - PKR only</t>
  </si>
  <si>
    <t xml:space="preserve">Note: 'Not disclosed' values were NEVER estimated or filled with assumed numbers — this reflects real market opacity, consistent with PBS informal-wage-reporting patterns. USD hourly-rate listing excluded from monthly PKR comparison (different unit).</t>
  </si>
  <si>
    <t xml:space="preserve">In-Demand Skills / Keywords (from job titles &amp; notes)</t>
  </si>
  <si>
    <t xml:space="preserve">Skill/Keyword</t>
  </si>
  <si>
    <t xml:space="preserve">Mentions</t>
  </si>
  <si>
    <t xml:space="preserve">Sql</t>
  </si>
  <si>
    <t xml:space="preserve">Power Bi</t>
  </si>
  <si>
    <t xml:space="preserve">Python</t>
  </si>
  <si>
    <t xml:space="preserve">Business Intelligence</t>
  </si>
  <si>
    <t xml:space="preserve">Reporting</t>
  </si>
  <si>
    <t xml:space="preserve">Etl</t>
  </si>
  <si>
    <t xml:space="preserve">Excel</t>
  </si>
  <si>
    <t xml:space="preserve">Machine Learning</t>
  </si>
  <si>
    <t xml:space="preserve">Data Warehouse</t>
  </si>
  <si>
    <t xml:space="preserve">Statistics</t>
  </si>
  <si>
    <t xml:space="preserve">Erp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</si>
</sst>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i val="true"/>
      <sz val="9"/>
      <color rgb="FF666666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66666"/>
      <rgbColor rgb="FF800080"/>
      <rgbColor rgb="FF008080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4BACC6"/>
      <rgbColor rgb="FF9BBB59"/>
      <rgbColor rgb="FFFFCC00"/>
      <rgbColor rgb="FFF79646"/>
      <rgbColor rgb="FFFF6600"/>
      <rgbColor rgb="FF8064A2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Job Listings by City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Summary_City!B3</c:f>
              <c:strCache>
                <c:ptCount val="1"/>
                <c:pt idx="0">
                  <c:v>Number of Listings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Summary_City!$A$4:$A$15</c:f>
              <c:strCache>
                <c:ptCount val="12"/>
                <c:pt idx="0">
                  <c:v>Karachi</c:v>
                </c:pt>
                <c:pt idx="1">
                  <c:v>Lahore</c:v>
                </c:pt>
                <c:pt idx="2">
                  <c:v>Remote/Unspecified</c:v>
                </c:pt>
                <c:pt idx="3">
                  <c:v>Islamabad</c:v>
                </c:pt>
                <c:pt idx="4">
                  <c:v>Not disclosed</c:v>
                </c:pt>
                <c:pt idx="5">
                  <c:v>Rawalpindi</c:v>
                </c:pt>
                <c:pt idx="6">
                  <c:v>Hyderabad</c:v>
                </c:pt>
                <c:pt idx="7">
                  <c:v>Multi-city</c:v>
                </c:pt>
                <c:pt idx="8">
                  <c:v>Faisalabad</c:v>
                </c:pt>
                <c:pt idx="9">
                  <c:v>Multan</c:v>
                </c:pt>
                <c:pt idx="10">
                  <c:v>Punjab (unspecified city)</c:v>
                </c:pt>
                <c:pt idx="11">
                  <c:v>Sahiwal</c:v>
                </c:pt>
              </c:strCache>
            </c:strRef>
          </c:cat>
          <c:val>
            <c:numRef>
              <c:f>Summary_City!$B$4:$B$15</c:f>
              <c:numCache>
                <c:formatCode>General</c:formatCode>
                <c:ptCount val="12"/>
                <c:pt idx="0">
                  <c:v>43</c:v>
                </c:pt>
                <c:pt idx="1">
                  <c:v>35</c:v>
                </c:pt>
                <c:pt idx="2">
                  <c:v>34</c:v>
                </c:pt>
                <c:pt idx="3">
                  <c:v>16</c:v>
                </c:pt>
                <c:pt idx="4">
                  <c:v>9</c:v>
                </c:pt>
                <c:pt idx="5">
                  <c:v>5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</c:ser>
        <c:gapWidth val="150"/>
        <c:overlap val="0"/>
        <c:axId val="29449584"/>
        <c:axId val="857046"/>
      </c:barChart>
      <c:catAx>
        <c:axId val="2944958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City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7046"/>
        <c:crosses val="autoZero"/>
        <c:auto val="1"/>
        <c:lblAlgn val="ctr"/>
        <c:lblOffset val="100"/>
        <c:noMultiLvlLbl val="0"/>
      </c:catAx>
      <c:valAx>
        <c:axId val="8570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Listings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944958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Listings by Platform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Summary_Platform!B3</c:f>
              <c:strCache>
                <c:ptCount val="1"/>
                <c:pt idx="0">
                  <c:v>Number of Listings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Pt>
            <c:idx val="4"/>
            <c:spPr>
              <a:solidFill>
                <a:srgbClr val="4bacc6"/>
              </a:solidFill>
              <a:ln w="0">
                <a:noFill/>
              </a:ln>
            </c:spPr>
          </c:dPt>
          <c:dPt>
            <c:idx val="5"/>
            <c:spPr>
              <a:solidFill>
                <a:srgbClr val="f79646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Summary_Platform!$A$4:$A$9</c:f>
              <c:strCache>
                <c:ptCount val="6"/>
                <c:pt idx="0">
                  <c:v>Indeed Pakistan</c:v>
                </c:pt>
                <c:pt idx="1">
                  <c:v>Glassdoor</c:v>
                </c:pt>
                <c:pt idx="2">
                  <c:v>LinkedIn</c:v>
                </c:pt>
                <c:pt idx="3">
                  <c:v>BeBee</c:v>
                </c:pt>
                <c:pt idx="4">
                  <c:v>Rozee.pk</c:v>
                </c:pt>
                <c:pt idx="5">
                  <c:v>Bayt.com</c:v>
                </c:pt>
              </c:strCache>
            </c:strRef>
          </c:cat>
          <c:val>
            <c:numRef>
              <c:f>Summary_Platform!$B$4:$B$9</c:f>
              <c:numCache>
                <c:formatCode>General</c:formatCode>
                <c:ptCount val="6"/>
                <c:pt idx="0">
                  <c:v>67</c:v>
                </c:pt>
                <c:pt idx="1">
                  <c:v>37</c:v>
                </c:pt>
                <c:pt idx="2">
                  <c:v>19</c:v>
                </c:pt>
                <c:pt idx="3">
                  <c:v>17</c:v>
                </c:pt>
                <c:pt idx="4">
                  <c:v>12</c:v>
                </c:pt>
                <c:pt idx="5">
                  <c:v>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Work Mode (of listings that disclose it)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Summary_WorkMode_Experience!B3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Summary_WorkMode_Experience!$A$4:$A$7</c:f>
              <c:strCache>
                <c:ptCount val="4"/>
                <c:pt idx="0">
                  <c:v>Remote</c:v>
                </c:pt>
                <c:pt idx="1">
                  <c:v>Onsite</c:v>
                </c:pt>
                <c:pt idx="2">
                  <c:v>Hybrid</c:v>
                </c:pt>
                <c:pt idx="3">
                  <c:v>Not disclosed</c:v>
                </c:pt>
              </c:strCache>
            </c:strRef>
          </c:cat>
          <c:val>
            <c:numRef>
              <c:f>Summary_WorkMode_Experience!$B$4:$B$7</c:f>
              <c:numCache>
                <c:formatCode>General</c:formatCode>
                <c:ptCount val="4"/>
                <c:pt idx="0">
                  <c:v>11</c:v>
                </c:pt>
                <c:pt idx="1">
                  <c:v>7</c:v>
                </c:pt>
                <c:pt idx="2">
                  <c:v>4</c:v>
                </c:pt>
                <c:pt idx="3">
                  <c:v>133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Experience Level Demand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Summary_WorkMode_Experience!B9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Summary_WorkMode_Experience!$A$10:$A$13</c:f>
              <c:strCache>
                <c:ptCount val="4"/>
                <c:pt idx="0">
                  <c:v>Entry/Fresh</c:v>
                </c:pt>
                <c:pt idx="1">
                  <c:v>Mid</c:v>
                </c:pt>
                <c:pt idx="2">
                  <c:v>Senior</c:v>
                </c:pt>
                <c:pt idx="3">
                  <c:v>Not disclosed</c:v>
                </c:pt>
              </c:strCache>
            </c:strRef>
          </c:cat>
          <c:val>
            <c:numRef>
              <c:f>Summary_WorkMode_Experience!$B$10:$B$13</c:f>
              <c:numCache>
                <c:formatCode>General</c:formatCode>
                <c:ptCount val="4"/>
                <c:pt idx="0">
                  <c:v>13</c:v>
                </c:pt>
                <c:pt idx="1">
                  <c:v>17</c:v>
                </c:pt>
                <c:pt idx="2">
                  <c:v>26</c:v>
                </c:pt>
                <c:pt idx="3">
                  <c:v>99</c:v>
                </c:pt>
              </c:numCache>
            </c:numRef>
          </c:val>
        </c:ser>
        <c:gapWidth val="150"/>
        <c:overlap val="0"/>
        <c:axId val="59344601"/>
        <c:axId val="20762847"/>
      </c:barChart>
      <c:catAx>
        <c:axId val="5934460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0762847"/>
        <c:crosses val="autoZero"/>
        <c:auto val="1"/>
        <c:lblAlgn val="ctr"/>
        <c:lblOffset val="100"/>
        <c:noMultiLvlLbl val="0"/>
      </c:catAx>
      <c:valAx>
        <c:axId val="2076284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934460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Skill Mentions Across Listings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Skills_Demand!B3</c:f>
              <c:strCache>
                <c:ptCount val="1"/>
                <c:pt idx="0">
                  <c:v>Mentions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Skills_Demand!$A$4:$A$15</c:f>
              <c:strCache>
                <c:ptCount val="12"/>
                <c:pt idx="0">
                  <c:v>Sql</c:v>
                </c:pt>
                <c:pt idx="1">
                  <c:v>Power Bi</c:v>
                </c:pt>
                <c:pt idx="2">
                  <c:v>Python</c:v>
                </c:pt>
                <c:pt idx="3">
                  <c:v>Business Intelligence</c:v>
                </c:pt>
                <c:pt idx="4">
                  <c:v>Analytics</c:v>
                </c:pt>
                <c:pt idx="5">
                  <c:v>Reporting</c:v>
                </c:pt>
                <c:pt idx="6">
                  <c:v>Etl</c:v>
                </c:pt>
                <c:pt idx="7">
                  <c:v>Excel</c:v>
                </c:pt>
                <c:pt idx="8">
                  <c:v>Machine Learning</c:v>
                </c:pt>
                <c:pt idx="9">
                  <c:v>Data Warehouse</c:v>
                </c:pt>
                <c:pt idx="10">
                  <c:v>Statistics</c:v>
                </c:pt>
                <c:pt idx="11">
                  <c:v>Erp</c:v>
                </c:pt>
              </c:strCache>
            </c:strRef>
          </c:cat>
          <c:val>
            <c:numRef>
              <c:f>Skills_Demand!$B$4:$B$15</c:f>
              <c:numCache>
                <c:formatCode>General</c:formatCode>
                <c:ptCount val="12"/>
                <c:pt idx="0">
                  <c:v>7</c:v>
                </c:pt>
                <c:pt idx="1">
                  <c:v>13</c:v>
                </c:pt>
                <c:pt idx="2">
                  <c:v>5</c:v>
                </c:pt>
                <c:pt idx="3">
                  <c:v>9</c:v>
                </c:pt>
                <c:pt idx="4">
                  <c:v>9</c:v>
                </c:pt>
                <c:pt idx="5">
                  <c:v>4</c:v>
                </c:pt>
                <c:pt idx="6">
                  <c:v>0</c:v>
                </c:pt>
                <c:pt idx="7">
                  <c:v>1</c:v>
                </c:pt>
                <c:pt idx="8">
                  <c:v>1</c:v>
                </c:pt>
                <c:pt idx="9">
                  <c:v>2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</c:ser>
        <c:gapWidth val="150"/>
        <c:overlap val="0"/>
        <c:axId val="84924815"/>
        <c:axId val="11885877"/>
      </c:barChart>
      <c:catAx>
        <c:axId val="84924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1885877"/>
        <c:crosses val="autoZero"/>
        <c:auto val="1"/>
        <c:lblAlgn val="ctr"/>
        <c:lblOffset val="100"/>
        <c:noMultiLvlLbl val="0"/>
      </c:catAx>
      <c:valAx>
        <c:axId val="1188587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492481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2.xml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chart" Target="../charts/chart3.xml"/><Relationship Id="rId2" Type="http://schemas.openxmlformats.org/officeDocument/2006/relationships/chart" Target="../charts/chart4.xml"/>
</Relationships>
</file>

<file path=xl/drawings/_rels/drawing4.xml.rels><?xml version="1.0" encoding="UTF-8"?>
<Relationships xmlns="http://schemas.openxmlformats.org/package/2006/relationships"><Relationship Id="rId1" Type="http://schemas.openxmlformats.org/officeDocument/2006/relationships/chart" Target="../charts/chart5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13</xdr:col>
      <xdr:colOff>364320</xdr:colOff>
      <xdr:row>20</xdr:row>
      <xdr:rowOff>140760</xdr:rowOff>
    </xdr:to>
    <xdr:graphicFrame>
      <xdr:nvGraphicFramePr>
        <xdr:cNvPr id="0" name="Chart 1"/>
        <xdr:cNvGraphicFramePr/>
      </xdr:nvGraphicFramePr>
      <xdr:xfrm>
        <a:off x="3712680" y="380880"/>
        <a:ext cx="647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11</xdr:col>
      <xdr:colOff>147600</xdr:colOff>
      <xdr:row>20</xdr:row>
      <xdr:rowOff>140760</xdr:rowOff>
    </xdr:to>
    <xdr:graphicFrame>
      <xdr:nvGraphicFramePr>
        <xdr:cNvPr id="1" name="Chart 1"/>
        <xdr:cNvGraphicFramePr/>
      </xdr:nvGraphicFramePr>
      <xdr:xfrm>
        <a:off x="3712680" y="380880"/>
        <a:ext cx="5039640" cy="35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10</xdr:col>
      <xdr:colOff>38880</xdr:colOff>
      <xdr:row>16</xdr:row>
      <xdr:rowOff>182520</xdr:rowOff>
    </xdr:to>
    <xdr:graphicFrame>
      <xdr:nvGraphicFramePr>
        <xdr:cNvPr id="2" name="Chart 1"/>
        <xdr:cNvGraphicFramePr/>
      </xdr:nvGraphicFramePr>
      <xdr:xfrm>
        <a:off x="3712680" y="38088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0</xdr:colOff>
      <xdr:row>18</xdr:row>
      <xdr:rowOff>160560</xdr:rowOff>
    </xdr:from>
    <xdr:to>
      <xdr:col>10</xdr:col>
      <xdr:colOff>38880</xdr:colOff>
      <xdr:row>33</xdr:row>
      <xdr:rowOff>182880</xdr:rowOff>
    </xdr:to>
    <xdr:graphicFrame>
      <xdr:nvGraphicFramePr>
        <xdr:cNvPr id="3" name="Chart 2"/>
        <xdr:cNvGraphicFramePr/>
      </xdr:nvGraphicFramePr>
      <xdr:xfrm>
        <a:off x="3712680" y="361944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3</xdr:col>
      <xdr:colOff>0</xdr:colOff>
      <xdr:row>1</xdr:row>
      <xdr:rowOff>160560</xdr:rowOff>
    </xdr:from>
    <xdr:to>
      <xdr:col>13</xdr:col>
      <xdr:colOff>364680</xdr:colOff>
      <xdr:row>24</xdr:row>
      <xdr:rowOff>98640</xdr:rowOff>
    </xdr:to>
    <xdr:graphicFrame>
      <xdr:nvGraphicFramePr>
        <xdr:cNvPr id="4" name="Chart 1"/>
        <xdr:cNvGraphicFramePr/>
      </xdr:nvGraphicFramePr>
      <xdr:xfrm>
        <a:off x="4276800" y="380880"/>
        <a:ext cx="647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U1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1" min="1" style="0" width="14"/>
  </cols>
  <sheetData>
    <row r="1" customFormat="false" ht="26.8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customFormat="false" ht="15" hidden="false" customHeight="false" outlineLevel="0" collapsed="false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23</v>
      </c>
      <c r="M2" s="2" t="s">
        <v>25</v>
      </c>
      <c r="N2" s="2" t="s">
        <v>27</v>
      </c>
      <c r="O2" s="2" t="s">
        <v>32</v>
      </c>
      <c r="P2" s="2" t="s">
        <v>33</v>
      </c>
      <c r="Q2" s="2" t="s">
        <v>34</v>
      </c>
      <c r="R2" s="2"/>
      <c r="S2" s="2"/>
      <c r="T2" s="2"/>
      <c r="U2" s="2" t="s">
        <v>35</v>
      </c>
    </row>
    <row r="3" customFormat="false" ht="15" hidden="false" customHeight="false" outlineLevel="0" collapsed="false">
      <c r="A3" s="2" t="s">
        <v>36</v>
      </c>
      <c r="B3" s="2" t="s">
        <v>37</v>
      </c>
      <c r="C3" s="2" t="s">
        <v>38</v>
      </c>
      <c r="D3" s="2" t="s">
        <v>39</v>
      </c>
      <c r="E3" s="2" t="s">
        <v>27</v>
      </c>
      <c r="F3" s="2" t="s">
        <v>40</v>
      </c>
      <c r="G3" s="2" t="s">
        <v>27</v>
      </c>
      <c r="H3" s="2" t="s">
        <v>28</v>
      </c>
      <c r="I3" s="2" t="s">
        <v>41</v>
      </c>
      <c r="J3" s="2" t="s">
        <v>30</v>
      </c>
      <c r="K3" s="2" t="s">
        <v>42</v>
      </c>
      <c r="L3" s="2" t="s">
        <v>38</v>
      </c>
      <c r="M3" s="2" t="s">
        <v>27</v>
      </c>
      <c r="N3" s="2" t="s">
        <v>27</v>
      </c>
      <c r="O3" s="2" t="s">
        <v>43</v>
      </c>
      <c r="P3" s="2" t="s">
        <v>33</v>
      </c>
      <c r="Q3" s="2" t="s">
        <v>41</v>
      </c>
      <c r="R3" s="2"/>
      <c r="S3" s="2"/>
      <c r="T3" s="2"/>
      <c r="U3" s="2" t="s">
        <v>44</v>
      </c>
    </row>
    <row r="4" customFormat="false" ht="15" hidden="false" customHeight="false" outlineLevel="0" collapsed="false">
      <c r="A4" s="2" t="s">
        <v>45</v>
      </c>
      <c r="B4" s="2" t="s">
        <v>46</v>
      </c>
      <c r="C4" s="2" t="s">
        <v>38</v>
      </c>
      <c r="D4" s="2" t="s">
        <v>47</v>
      </c>
      <c r="E4" s="2" t="s">
        <v>27</v>
      </c>
      <c r="F4" s="2" t="s">
        <v>48</v>
      </c>
      <c r="G4" s="2" t="s">
        <v>49</v>
      </c>
      <c r="H4" s="2" t="s">
        <v>28</v>
      </c>
      <c r="I4" s="2" t="s">
        <v>50</v>
      </c>
      <c r="J4" s="2" t="s">
        <v>30</v>
      </c>
      <c r="K4" s="2" t="s">
        <v>51</v>
      </c>
      <c r="L4" s="2" t="s">
        <v>38</v>
      </c>
      <c r="M4" s="2" t="s">
        <v>27</v>
      </c>
      <c r="N4" s="2" t="s">
        <v>27</v>
      </c>
      <c r="O4" s="2" t="s">
        <v>52</v>
      </c>
      <c r="P4" s="2" t="s">
        <v>53</v>
      </c>
      <c r="Q4" s="2" t="s">
        <v>50</v>
      </c>
      <c r="R4" s="2" t="s">
        <v>54</v>
      </c>
      <c r="S4" s="2" t="n">
        <v>120000</v>
      </c>
      <c r="T4" s="2"/>
      <c r="U4" s="2" t="s">
        <v>55</v>
      </c>
    </row>
    <row r="5" customFormat="false" ht="15" hidden="false" customHeight="false" outlineLevel="0" collapsed="false">
      <c r="A5" s="2" t="s">
        <v>56</v>
      </c>
      <c r="B5" s="2" t="s">
        <v>57</v>
      </c>
      <c r="C5" s="2" t="s">
        <v>38</v>
      </c>
      <c r="D5" s="2" t="s">
        <v>24</v>
      </c>
      <c r="E5" s="2" t="s">
        <v>27</v>
      </c>
      <c r="F5" s="2" t="s">
        <v>58</v>
      </c>
      <c r="G5" s="2" t="s">
        <v>27</v>
      </c>
      <c r="H5" s="2" t="s">
        <v>28</v>
      </c>
      <c r="I5" s="2" t="s">
        <v>29</v>
      </c>
      <c r="J5" s="2" t="s">
        <v>30</v>
      </c>
      <c r="K5" s="2"/>
      <c r="L5" s="2" t="s">
        <v>38</v>
      </c>
      <c r="M5" s="2" t="s">
        <v>27</v>
      </c>
      <c r="N5" s="2" t="s">
        <v>27</v>
      </c>
      <c r="O5" s="2" t="s">
        <v>52</v>
      </c>
      <c r="P5" s="2" t="s">
        <v>33</v>
      </c>
      <c r="Q5" s="2" t="s">
        <v>34</v>
      </c>
      <c r="R5" s="2"/>
      <c r="S5" s="2"/>
      <c r="T5" s="2"/>
      <c r="U5" s="2" t="s">
        <v>59</v>
      </c>
    </row>
    <row r="6" customFormat="false" ht="15" hidden="false" customHeight="false" outlineLevel="0" collapsed="false">
      <c r="A6" s="2" t="s">
        <v>60</v>
      </c>
      <c r="B6" s="2" t="s">
        <v>61</v>
      </c>
      <c r="C6" s="2" t="s">
        <v>27</v>
      </c>
      <c r="D6" s="2" t="s">
        <v>39</v>
      </c>
      <c r="E6" s="2" t="s">
        <v>27</v>
      </c>
      <c r="F6" s="2" t="s">
        <v>58</v>
      </c>
      <c r="G6" s="2" t="s">
        <v>27</v>
      </c>
      <c r="H6" s="2" t="s">
        <v>28</v>
      </c>
      <c r="I6" s="2" t="s">
        <v>29</v>
      </c>
      <c r="J6" s="2" t="s">
        <v>30</v>
      </c>
      <c r="K6" s="2" t="s">
        <v>62</v>
      </c>
      <c r="L6" s="2" t="s">
        <v>27</v>
      </c>
      <c r="M6" s="2" t="s">
        <v>27</v>
      </c>
      <c r="N6" s="2" t="s">
        <v>27</v>
      </c>
      <c r="O6" s="2" t="s">
        <v>52</v>
      </c>
      <c r="P6" s="2" t="s">
        <v>33</v>
      </c>
      <c r="Q6" s="2" t="s">
        <v>34</v>
      </c>
      <c r="R6" s="2"/>
      <c r="S6" s="2"/>
      <c r="T6" s="2"/>
      <c r="U6" s="2" t="s">
        <v>63</v>
      </c>
    </row>
    <row r="7" customFormat="false" ht="15" hidden="false" customHeight="false" outlineLevel="0" collapsed="false">
      <c r="A7" s="2" t="s">
        <v>64</v>
      </c>
      <c r="B7" s="2" t="s">
        <v>65</v>
      </c>
      <c r="C7" s="2" t="s">
        <v>27</v>
      </c>
      <c r="D7" s="2" t="s">
        <v>66</v>
      </c>
      <c r="E7" s="2" t="s">
        <v>27</v>
      </c>
      <c r="F7" s="2" t="s">
        <v>67</v>
      </c>
      <c r="G7" s="2" t="s">
        <v>27</v>
      </c>
      <c r="H7" s="2" t="s">
        <v>28</v>
      </c>
      <c r="I7" s="2" t="s">
        <v>29</v>
      </c>
      <c r="J7" s="2" t="s">
        <v>30</v>
      </c>
      <c r="K7" s="2" t="s">
        <v>68</v>
      </c>
      <c r="L7" s="2" t="s">
        <v>27</v>
      </c>
      <c r="M7" s="2" t="s">
        <v>27</v>
      </c>
      <c r="N7" s="2" t="s">
        <v>27</v>
      </c>
      <c r="O7" s="2" t="s">
        <v>52</v>
      </c>
      <c r="P7" s="2" t="s">
        <v>33</v>
      </c>
      <c r="Q7" s="2" t="s">
        <v>34</v>
      </c>
      <c r="R7" s="2"/>
      <c r="S7" s="2"/>
      <c r="T7" s="2"/>
      <c r="U7" s="2" t="s">
        <v>69</v>
      </c>
    </row>
    <row r="8" customFormat="false" ht="15" hidden="false" customHeight="false" outlineLevel="0" collapsed="false">
      <c r="A8" s="2" t="s">
        <v>70</v>
      </c>
      <c r="B8" s="2" t="s">
        <v>71</v>
      </c>
      <c r="C8" s="2" t="s">
        <v>27</v>
      </c>
      <c r="D8" s="2" t="s">
        <v>72</v>
      </c>
      <c r="E8" s="2" t="s">
        <v>27</v>
      </c>
      <c r="F8" s="2" t="s">
        <v>27</v>
      </c>
      <c r="G8" s="2" t="s">
        <v>27</v>
      </c>
      <c r="H8" s="2" t="s">
        <v>28</v>
      </c>
      <c r="I8" s="2" t="s">
        <v>29</v>
      </c>
      <c r="J8" s="2" t="s">
        <v>30</v>
      </c>
      <c r="K8" s="2" t="s">
        <v>73</v>
      </c>
      <c r="L8" s="2" t="s">
        <v>27</v>
      </c>
      <c r="M8" s="2" t="s">
        <v>27</v>
      </c>
      <c r="N8" s="2" t="s">
        <v>27</v>
      </c>
      <c r="O8" s="2" t="s">
        <v>27</v>
      </c>
      <c r="P8" s="2" t="s">
        <v>33</v>
      </c>
      <c r="Q8" s="2" t="s">
        <v>34</v>
      </c>
      <c r="R8" s="2"/>
      <c r="S8" s="2"/>
      <c r="T8" s="2"/>
      <c r="U8" s="2" t="s">
        <v>74</v>
      </c>
    </row>
    <row r="9" customFormat="false" ht="15" hidden="false" customHeight="false" outlineLevel="0" collapsed="false">
      <c r="A9" s="2" t="s">
        <v>75</v>
      </c>
      <c r="B9" s="2" t="s">
        <v>76</v>
      </c>
      <c r="C9" s="2" t="s">
        <v>27</v>
      </c>
      <c r="D9" s="2" t="s">
        <v>72</v>
      </c>
      <c r="E9" s="2" t="s">
        <v>27</v>
      </c>
      <c r="F9" s="2" t="s">
        <v>27</v>
      </c>
      <c r="G9" s="2" t="s">
        <v>27</v>
      </c>
      <c r="H9" s="2" t="s">
        <v>28</v>
      </c>
      <c r="I9" s="2" t="s">
        <v>29</v>
      </c>
      <c r="J9" s="2" t="s">
        <v>30</v>
      </c>
      <c r="K9" s="2" t="s">
        <v>77</v>
      </c>
      <c r="L9" s="2" t="s">
        <v>27</v>
      </c>
      <c r="M9" s="2" t="s">
        <v>27</v>
      </c>
      <c r="N9" s="2" t="s">
        <v>27</v>
      </c>
      <c r="O9" s="2" t="s">
        <v>27</v>
      </c>
      <c r="P9" s="2" t="s">
        <v>33</v>
      </c>
      <c r="Q9" s="2" t="s">
        <v>34</v>
      </c>
      <c r="R9" s="2"/>
      <c r="S9" s="2"/>
      <c r="T9" s="2"/>
      <c r="U9" s="2" t="s">
        <v>78</v>
      </c>
    </row>
    <row r="10" customFormat="false" ht="15" hidden="false" customHeight="false" outlineLevel="0" collapsed="false">
      <c r="A10" s="2" t="s">
        <v>79</v>
      </c>
      <c r="B10" s="2" t="s">
        <v>80</v>
      </c>
      <c r="C10" s="2" t="s">
        <v>27</v>
      </c>
      <c r="D10" s="2" t="s">
        <v>81</v>
      </c>
      <c r="E10" s="2" t="s">
        <v>82</v>
      </c>
      <c r="F10" s="2" t="s">
        <v>83</v>
      </c>
      <c r="G10" s="2" t="s">
        <v>27</v>
      </c>
      <c r="H10" s="2" t="s">
        <v>28</v>
      </c>
      <c r="I10" s="2" t="s">
        <v>29</v>
      </c>
      <c r="J10" s="2" t="s">
        <v>30</v>
      </c>
      <c r="K10" s="2" t="s">
        <v>84</v>
      </c>
      <c r="L10" s="2" t="s">
        <v>27</v>
      </c>
      <c r="M10" s="2" t="s">
        <v>27</v>
      </c>
      <c r="N10" s="2" t="s">
        <v>27</v>
      </c>
      <c r="O10" s="2" t="s">
        <v>43</v>
      </c>
      <c r="P10" s="2" t="s">
        <v>33</v>
      </c>
      <c r="Q10" s="2" t="s">
        <v>34</v>
      </c>
      <c r="R10" s="2"/>
      <c r="S10" s="2"/>
      <c r="T10" s="2"/>
      <c r="U10" s="2" t="s">
        <v>85</v>
      </c>
    </row>
    <row r="11" customFormat="false" ht="15" hidden="false" customHeight="false" outlineLevel="0" collapsed="false">
      <c r="A11" s="2" t="s">
        <v>86</v>
      </c>
      <c r="B11" s="2" t="s">
        <v>87</v>
      </c>
      <c r="C11" s="2" t="s">
        <v>88</v>
      </c>
      <c r="D11" s="2" t="s">
        <v>89</v>
      </c>
      <c r="E11" s="2" t="s">
        <v>27</v>
      </c>
      <c r="F11" s="2" t="s">
        <v>27</v>
      </c>
      <c r="G11" s="2" t="s">
        <v>27</v>
      </c>
      <c r="H11" s="2" t="s">
        <v>28</v>
      </c>
      <c r="I11" s="2" t="s">
        <v>29</v>
      </c>
      <c r="J11" s="2" t="s">
        <v>30</v>
      </c>
      <c r="K11" s="2" t="s">
        <v>90</v>
      </c>
      <c r="L11" s="2" t="s">
        <v>91</v>
      </c>
      <c r="M11" s="2" t="s">
        <v>27</v>
      </c>
      <c r="N11" s="2" t="s">
        <v>27</v>
      </c>
      <c r="O11" s="2" t="s">
        <v>27</v>
      </c>
      <c r="P11" s="2" t="s">
        <v>33</v>
      </c>
      <c r="Q11" s="2" t="s">
        <v>34</v>
      </c>
      <c r="R11" s="2"/>
      <c r="S11" s="2"/>
      <c r="T11" s="2"/>
      <c r="U11" s="2" t="s">
        <v>92</v>
      </c>
    </row>
    <row r="12" customFormat="false" ht="15" hidden="false" customHeight="false" outlineLevel="0" collapsed="false">
      <c r="A12" s="2" t="s">
        <v>93</v>
      </c>
      <c r="B12" s="2" t="s">
        <v>94</v>
      </c>
      <c r="C12" s="2" t="s">
        <v>95</v>
      </c>
      <c r="D12" s="2" t="s">
        <v>96</v>
      </c>
      <c r="E12" s="2" t="s">
        <v>27</v>
      </c>
      <c r="F12" s="2" t="s">
        <v>27</v>
      </c>
      <c r="G12" s="2" t="s">
        <v>27</v>
      </c>
      <c r="H12" s="2" t="s">
        <v>28</v>
      </c>
      <c r="I12" s="2" t="s">
        <v>29</v>
      </c>
      <c r="J12" s="2" t="s">
        <v>30</v>
      </c>
      <c r="K12" s="2" t="s">
        <v>97</v>
      </c>
      <c r="L12" s="2" t="s">
        <v>98</v>
      </c>
      <c r="M12" s="2" t="s">
        <v>27</v>
      </c>
      <c r="N12" s="2" t="s">
        <v>27</v>
      </c>
      <c r="O12" s="2" t="s">
        <v>27</v>
      </c>
      <c r="P12" s="2" t="s">
        <v>33</v>
      </c>
      <c r="Q12" s="2" t="s">
        <v>34</v>
      </c>
      <c r="R12" s="2"/>
      <c r="S12" s="2"/>
      <c r="T12" s="2"/>
      <c r="U12" s="2" t="s">
        <v>99</v>
      </c>
    </row>
    <row r="13" customFormat="false" ht="15" hidden="false" customHeight="false" outlineLevel="0" collapsed="false">
      <c r="A13" s="2" t="s">
        <v>21</v>
      </c>
      <c r="B13" s="2" t="s">
        <v>100</v>
      </c>
      <c r="C13" s="2" t="s">
        <v>91</v>
      </c>
      <c r="D13" s="2" t="s">
        <v>101</v>
      </c>
      <c r="E13" s="2" t="s">
        <v>27</v>
      </c>
      <c r="F13" s="2" t="s">
        <v>27</v>
      </c>
      <c r="G13" s="2" t="s">
        <v>27</v>
      </c>
      <c r="H13" s="2" t="s">
        <v>28</v>
      </c>
      <c r="I13" s="2" t="s">
        <v>29</v>
      </c>
      <c r="J13" s="2" t="s">
        <v>102</v>
      </c>
      <c r="K13" s="2" t="s">
        <v>103</v>
      </c>
      <c r="L13" s="2" t="s">
        <v>91</v>
      </c>
      <c r="M13" s="2" t="s">
        <v>27</v>
      </c>
      <c r="N13" s="2" t="s">
        <v>27</v>
      </c>
      <c r="O13" s="2" t="s">
        <v>27</v>
      </c>
      <c r="P13" s="2" t="s">
        <v>33</v>
      </c>
      <c r="Q13" s="2" t="s">
        <v>34</v>
      </c>
      <c r="R13" s="2"/>
      <c r="S13" s="2"/>
      <c r="T13" s="2"/>
      <c r="U13" s="2" t="s">
        <v>104</v>
      </c>
    </row>
    <row r="14" customFormat="false" ht="15" hidden="false" customHeight="false" outlineLevel="0" collapsed="false">
      <c r="A14" s="2" t="s">
        <v>105</v>
      </c>
      <c r="B14" s="2" t="s">
        <v>106</v>
      </c>
      <c r="C14" s="2" t="s">
        <v>107</v>
      </c>
      <c r="D14" s="2" t="s">
        <v>39</v>
      </c>
      <c r="E14" s="2" t="s">
        <v>27</v>
      </c>
      <c r="F14" s="2" t="s">
        <v>27</v>
      </c>
      <c r="G14" s="2" t="s">
        <v>27</v>
      </c>
      <c r="H14" s="2" t="s">
        <v>108</v>
      </c>
      <c r="I14" s="2" t="s">
        <v>29</v>
      </c>
      <c r="J14" s="2" t="s">
        <v>109</v>
      </c>
      <c r="K14" s="2" t="s">
        <v>110</v>
      </c>
      <c r="L14" s="2" t="s">
        <v>107</v>
      </c>
      <c r="M14" s="2" t="s">
        <v>27</v>
      </c>
      <c r="N14" s="2" t="s">
        <v>27</v>
      </c>
      <c r="O14" s="2" t="s">
        <v>27</v>
      </c>
      <c r="P14" s="2" t="s">
        <v>33</v>
      </c>
      <c r="Q14" s="2" t="s">
        <v>34</v>
      </c>
      <c r="R14" s="2"/>
      <c r="S14" s="2"/>
      <c r="T14" s="2"/>
      <c r="U14" s="2" t="s">
        <v>111</v>
      </c>
    </row>
    <row r="15" customFormat="false" ht="15" hidden="false" customHeight="false" outlineLevel="0" collapsed="false">
      <c r="A15" s="2" t="s">
        <v>112</v>
      </c>
      <c r="B15" s="2" t="s">
        <v>113</v>
      </c>
      <c r="C15" s="2" t="s">
        <v>38</v>
      </c>
      <c r="D15" s="2" t="s">
        <v>39</v>
      </c>
      <c r="E15" s="2" t="s">
        <v>27</v>
      </c>
      <c r="F15" s="2" t="s">
        <v>27</v>
      </c>
      <c r="G15" s="2" t="s">
        <v>27</v>
      </c>
      <c r="H15" s="2" t="s">
        <v>108</v>
      </c>
      <c r="I15" s="2" t="s">
        <v>29</v>
      </c>
      <c r="J15" s="2" t="s">
        <v>109</v>
      </c>
      <c r="K15" s="2" t="s">
        <v>114</v>
      </c>
      <c r="L15" s="2" t="s">
        <v>38</v>
      </c>
      <c r="M15" s="2" t="s">
        <v>27</v>
      </c>
      <c r="N15" s="2" t="s">
        <v>27</v>
      </c>
      <c r="O15" s="2" t="s">
        <v>27</v>
      </c>
      <c r="P15" s="2" t="s">
        <v>33</v>
      </c>
      <c r="Q15" s="2" t="s">
        <v>34</v>
      </c>
      <c r="R15" s="2"/>
      <c r="S15" s="2"/>
      <c r="T15" s="2"/>
      <c r="U15" s="2" t="s">
        <v>115</v>
      </c>
    </row>
    <row r="16" customFormat="false" ht="15" hidden="false" customHeight="false" outlineLevel="0" collapsed="false">
      <c r="A16" s="2" t="s">
        <v>21</v>
      </c>
      <c r="B16" s="2" t="s">
        <v>116</v>
      </c>
      <c r="C16" s="2" t="s">
        <v>117</v>
      </c>
      <c r="D16" s="2" t="s">
        <v>118</v>
      </c>
      <c r="E16" s="2" t="s">
        <v>27</v>
      </c>
      <c r="F16" s="2" t="s">
        <v>27</v>
      </c>
      <c r="G16" s="2" t="s">
        <v>27</v>
      </c>
      <c r="H16" s="2" t="s">
        <v>108</v>
      </c>
      <c r="I16" s="2" t="s">
        <v>29</v>
      </c>
      <c r="J16" s="2" t="s">
        <v>109</v>
      </c>
      <c r="K16" s="2" t="s">
        <v>119</v>
      </c>
      <c r="L16" s="2" t="s">
        <v>120</v>
      </c>
      <c r="M16" s="2" t="s">
        <v>27</v>
      </c>
      <c r="N16" s="2" t="s">
        <v>27</v>
      </c>
      <c r="O16" s="2" t="s">
        <v>27</v>
      </c>
      <c r="P16" s="2" t="s">
        <v>33</v>
      </c>
      <c r="Q16" s="2" t="s">
        <v>34</v>
      </c>
      <c r="R16" s="2"/>
      <c r="S16" s="2"/>
      <c r="T16" s="2"/>
      <c r="U16" s="2" t="s">
        <v>121</v>
      </c>
    </row>
    <row r="17" customFormat="false" ht="15" hidden="false" customHeight="false" outlineLevel="0" collapsed="false">
      <c r="A17" s="2" t="s">
        <v>21</v>
      </c>
      <c r="B17" s="2" t="s">
        <v>122</v>
      </c>
      <c r="C17" s="2" t="s">
        <v>38</v>
      </c>
      <c r="D17" s="2" t="s">
        <v>123</v>
      </c>
      <c r="E17" s="2" t="s">
        <v>124</v>
      </c>
      <c r="F17" s="2" t="s">
        <v>27</v>
      </c>
      <c r="G17" s="2" t="s">
        <v>125</v>
      </c>
      <c r="H17" s="2" t="s">
        <v>108</v>
      </c>
      <c r="I17" s="2" t="s">
        <v>29</v>
      </c>
      <c r="J17" s="2" t="s">
        <v>126</v>
      </c>
      <c r="K17" s="2" t="s">
        <v>127</v>
      </c>
      <c r="L17" s="2" t="s">
        <v>38</v>
      </c>
      <c r="M17" s="2" t="s">
        <v>27</v>
      </c>
      <c r="N17" s="2" t="s">
        <v>124</v>
      </c>
      <c r="O17" s="2" t="s">
        <v>27</v>
      </c>
      <c r="P17" s="2" t="s">
        <v>53</v>
      </c>
      <c r="Q17" s="2" t="s">
        <v>34</v>
      </c>
      <c r="R17" s="2" t="s">
        <v>54</v>
      </c>
      <c r="S17" s="2" t="n">
        <v>32500</v>
      </c>
      <c r="T17" s="2"/>
      <c r="U17" s="2" t="s">
        <v>128</v>
      </c>
    </row>
    <row r="18" customFormat="false" ht="15" hidden="false" customHeight="false" outlineLevel="0" collapsed="false">
      <c r="A18" s="2" t="s">
        <v>129</v>
      </c>
      <c r="B18" s="2" t="s">
        <v>130</v>
      </c>
      <c r="C18" s="2" t="s">
        <v>131</v>
      </c>
      <c r="D18" s="2" t="s">
        <v>132</v>
      </c>
      <c r="E18" s="2" t="s">
        <v>27</v>
      </c>
      <c r="F18" s="2" t="s">
        <v>27</v>
      </c>
      <c r="G18" s="2" t="s">
        <v>27</v>
      </c>
      <c r="H18" s="2" t="s">
        <v>108</v>
      </c>
      <c r="I18" s="2" t="s">
        <v>133</v>
      </c>
      <c r="J18" s="2" t="s">
        <v>134</v>
      </c>
      <c r="K18" s="2" t="s">
        <v>135</v>
      </c>
      <c r="L18" s="2" t="s">
        <v>120</v>
      </c>
      <c r="M18" s="2" t="s">
        <v>27</v>
      </c>
      <c r="N18" s="2" t="s">
        <v>27</v>
      </c>
      <c r="O18" s="2" t="s">
        <v>27</v>
      </c>
      <c r="P18" s="2" t="s">
        <v>33</v>
      </c>
      <c r="Q18" s="2" t="s">
        <v>136</v>
      </c>
      <c r="R18" s="2"/>
      <c r="S18" s="2"/>
      <c r="T18" s="2"/>
      <c r="U18" s="2" t="s">
        <v>137</v>
      </c>
    </row>
    <row r="19" customFormat="false" ht="15" hidden="false" customHeight="false" outlineLevel="0" collapsed="false">
      <c r="A19" s="2" t="s">
        <v>21</v>
      </c>
      <c r="B19" s="2" t="s">
        <v>138</v>
      </c>
      <c r="C19" s="2" t="s">
        <v>27</v>
      </c>
      <c r="D19" s="2" t="s">
        <v>39</v>
      </c>
      <c r="E19" s="2" t="s">
        <v>27</v>
      </c>
      <c r="F19" s="2" t="s">
        <v>27</v>
      </c>
      <c r="G19" s="2" t="s">
        <v>27</v>
      </c>
      <c r="H19" s="2" t="s">
        <v>139</v>
      </c>
      <c r="I19" s="2" t="s">
        <v>133</v>
      </c>
      <c r="J19" s="2" t="s">
        <v>140</v>
      </c>
      <c r="K19" s="2"/>
      <c r="L19" s="2" t="s">
        <v>27</v>
      </c>
      <c r="M19" s="2" t="s">
        <v>27</v>
      </c>
      <c r="N19" s="2" t="s">
        <v>27</v>
      </c>
      <c r="O19" s="2" t="s">
        <v>27</v>
      </c>
      <c r="P19" s="2" t="s">
        <v>33</v>
      </c>
      <c r="Q19" s="2" t="s">
        <v>136</v>
      </c>
      <c r="R19" s="2"/>
      <c r="S19" s="2"/>
      <c r="T19" s="2"/>
      <c r="U19" s="2" t="s">
        <v>141</v>
      </c>
    </row>
    <row r="20" customFormat="false" ht="15" hidden="false" customHeight="false" outlineLevel="0" collapsed="false">
      <c r="A20" s="2" t="s">
        <v>142</v>
      </c>
      <c r="B20" s="2" t="s">
        <v>143</v>
      </c>
      <c r="C20" s="2" t="s">
        <v>144</v>
      </c>
      <c r="D20" s="2" t="s">
        <v>39</v>
      </c>
      <c r="E20" s="2" t="s">
        <v>145</v>
      </c>
      <c r="F20" s="2" t="s">
        <v>32</v>
      </c>
      <c r="G20" s="2" t="s">
        <v>146</v>
      </c>
      <c r="H20" s="2" t="s">
        <v>139</v>
      </c>
      <c r="I20" s="2" t="s">
        <v>133</v>
      </c>
      <c r="J20" s="2" t="s">
        <v>140</v>
      </c>
      <c r="K20" s="2"/>
      <c r="L20" s="2" t="s">
        <v>147</v>
      </c>
      <c r="M20" s="2" t="s">
        <v>145</v>
      </c>
      <c r="N20" s="2" t="s">
        <v>27</v>
      </c>
      <c r="O20" s="2" t="s">
        <v>32</v>
      </c>
      <c r="P20" s="2" t="s">
        <v>33</v>
      </c>
      <c r="Q20" s="2" t="s">
        <v>136</v>
      </c>
      <c r="R20" s="2"/>
      <c r="S20" s="2"/>
      <c r="T20" s="2"/>
      <c r="U20" s="2" t="s">
        <v>148</v>
      </c>
    </row>
    <row r="21" customFormat="false" ht="15" hidden="false" customHeight="false" outlineLevel="0" collapsed="false">
      <c r="A21" s="2" t="s">
        <v>149</v>
      </c>
      <c r="B21" s="2" t="s">
        <v>150</v>
      </c>
      <c r="C21" s="2" t="s">
        <v>151</v>
      </c>
      <c r="D21" s="2" t="s">
        <v>152</v>
      </c>
      <c r="E21" s="2" t="s">
        <v>145</v>
      </c>
      <c r="F21" s="2" t="s">
        <v>153</v>
      </c>
      <c r="G21" s="2" t="s">
        <v>27</v>
      </c>
      <c r="H21" s="2" t="s">
        <v>139</v>
      </c>
      <c r="I21" s="2" t="s">
        <v>133</v>
      </c>
      <c r="J21" s="2" t="s">
        <v>140</v>
      </c>
      <c r="K21" s="2" t="s">
        <v>154</v>
      </c>
      <c r="L21" s="2" t="s">
        <v>147</v>
      </c>
      <c r="M21" s="2" t="s">
        <v>145</v>
      </c>
      <c r="N21" s="2" t="s">
        <v>27</v>
      </c>
      <c r="O21" s="2" t="s">
        <v>32</v>
      </c>
      <c r="P21" s="2" t="s">
        <v>33</v>
      </c>
      <c r="Q21" s="2" t="s">
        <v>136</v>
      </c>
      <c r="R21" s="2"/>
      <c r="S21" s="2"/>
      <c r="T21" s="2"/>
      <c r="U21" s="2" t="s">
        <v>155</v>
      </c>
    </row>
    <row r="22" customFormat="false" ht="15" hidden="false" customHeight="false" outlineLevel="0" collapsed="false">
      <c r="A22" s="2" t="s">
        <v>156</v>
      </c>
      <c r="B22" s="2" t="s">
        <v>143</v>
      </c>
      <c r="C22" s="2" t="s">
        <v>91</v>
      </c>
      <c r="D22" s="2" t="s">
        <v>157</v>
      </c>
      <c r="E22" s="2" t="s">
        <v>27</v>
      </c>
      <c r="F22" s="2" t="s">
        <v>27</v>
      </c>
      <c r="G22" s="2" t="s">
        <v>27</v>
      </c>
      <c r="H22" s="2" t="s">
        <v>158</v>
      </c>
      <c r="I22" s="2" t="s">
        <v>29</v>
      </c>
      <c r="J22" s="2" t="s">
        <v>159</v>
      </c>
      <c r="K22" s="2" t="s">
        <v>160</v>
      </c>
      <c r="L22" s="2" t="s">
        <v>91</v>
      </c>
      <c r="M22" s="2" t="s">
        <v>27</v>
      </c>
      <c r="N22" s="2" t="s">
        <v>27</v>
      </c>
      <c r="O22" s="2" t="s">
        <v>27</v>
      </c>
      <c r="P22" s="2" t="s">
        <v>33</v>
      </c>
      <c r="Q22" s="2" t="s">
        <v>34</v>
      </c>
      <c r="R22" s="2"/>
      <c r="S22" s="2"/>
      <c r="T22" s="2"/>
      <c r="U22" s="2" t="s">
        <v>161</v>
      </c>
    </row>
    <row r="23" customFormat="false" ht="15" hidden="false" customHeight="false" outlineLevel="0" collapsed="false">
      <c r="A23" s="2" t="s">
        <v>162</v>
      </c>
      <c r="B23" s="2" t="s">
        <v>143</v>
      </c>
      <c r="C23" s="2" t="s">
        <v>23</v>
      </c>
      <c r="D23" s="2" t="s">
        <v>157</v>
      </c>
      <c r="E23" s="2" t="s">
        <v>27</v>
      </c>
      <c r="F23" s="2" t="s">
        <v>27</v>
      </c>
      <c r="G23" s="2" t="s">
        <v>27</v>
      </c>
      <c r="H23" s="2" t="s">
        <v>158</v>
      </c>
      <c r="I23" s="2" t="s">
        <v>29</v>
      </c>
      <c r="J23" s="2" t="s">
        <v>159</v>
      </c>
      <c r="K23" s="2"/>
      <c r="L23" s="2" t="s">
        <v>23</v>
      </c>
      <c r="M23" s="2" t="s">
        <v>27</v>
      </c>
      <c r="N23" s="2" t="s">
        <v>27</v>
      </c>
      <c r="O23" s="2" t="s">
        <v>27</v>
      </c>
      <c r="P23" s="2" t="s">
        <v>33</v>
      </c>
      <c r="Q23" s="2" t="s">
        <v>34</v>
      </c>
      <c r="R23" s="2"/>
      <c r="S23" s="2"/>
      <c r="T23" s="2"/>
      <c r="U23" s="2" t="s">
        <v>163</v>
      </c>
    </row>
    <row r="24" customFormat="false" ht="15" hidden="false" customHeight="false" outlineLevel="0" collapsed="false">
      <c r="A24" s="2" t="s">
        <v>164</v>
      </c>
      <c r="B24" s="2" t="s">
        <v>143</v>
      </c>
      <c r="C24" s="2" t="s">
        <v>38</v>
      </c>
      <c r="D24" s="2" t="s">
        <v>157</v>
      </c>
      <c r="E24" s="2" t="s">
        <v>27</v>
      </c>
      <c r="F24" s="2" t="s">
        <v>27</v>
      </c>
      <c r="G24" s="2" t="s">
        <v>27</v>
      </c>
      <c r="H24" s="2" t="s">
        <v>158</v>
      </c>
      <c r="I24" s="2" t="s">
        <v>29</v>
      </c>
      <c r="J24" s="2" t="s">
        <v>159</v>
      </c>
      <c r="K24" s="2" t="s">
        <v>160</v>
      </c>
      <c r="L24" s="2" t="s">
        <v>38</v>
      </c>
      <c r="M24" s="2" t="s">
        <v>27</v>
      </c>
      <c r="N24" s="2" t="s">
        <v>27</v>
      </c>
      <c r="O24" s="2" t="s">
        <v>27</v>
      </c>
      <c r="P24" s="2" t="s">
        <v>33</v>
      </c>
      <c r="Q24" s="2" t="s">
        <v>34</v>
      </c>
      <c r="R24" s="2"/>
      <c r="S24" s="2"/>
      <c r="T24" s="2"/>
      <c r="U24" s="2" t="s">
        <v>165</v>
      </c>
    </row>
    <row r="25" customFormat="false" ht="15" hidden="false" customHeight="false" outlineLevel="0" collapsed="false">
      <c r="A25" s="2" t="s">
        <v>166</v>
      </c>
      <c r="B25" s="2" t="s">
        <v>143</v>
      </c>
      <c r="C25" s="2" t="s">
        <v>167</v>
      </c>
      <c r="D25" s="2" t="s">
        <v>157</v>
      </c>
      <c r="E25" s="2" t="s">
        <v>27</v>
      </c>
      <c r="F25" s="2" t="s">
        <v>32</v>
      </c>
      <c r="G25" s="2" t="s">
        <v>27</v>
      </c>
      <c r="H25" s="2" t="s">
        <v>158</v>
      </c>
      <c r="I25" s="2" t="s">
        <v>29</v>
      </c>
      <c r="J25" s="2" t="s">
        <v>159</v>
      </c>
      <c r="K25" s="2" t="s">
        <v>160</v>
      </c>
      <c r="L25" s="2" t="s">
        <v>168</v>
      </c>
      <c r="M25" s="2" t="s">
        <v>27</v>
      </c>
      <c r="N25" s="2" t="s">
        <v>27</v>
      </c>
      <c r="O25" s="2" t="s">
        <v>32</v>
      </c>
      <c r="P25" s="2" t="s">
        <v>33</v>
      </c>
      <c r="Q25" s="2" t="s">
        <v>34</v>
      </c>
      <c r="R25" s="2"/>
      <c r="S25" s="2"/>
      <c r="T25" s="2"/>
      <c r="U25" s="2" t="s">
        <v>169</v>
      </c>
    </row>
    <row r="26" customFormat="false" ht="15" hidden="false" customHeight="false" outlineLevel="0" collapsed="false">
      <c r="A26" s="2" t="s">
        <v>170</v>
      </c>
      <c r="B26" s="2" t="s">
        <v>143</v>
      </c>
      <c r="C26" s="2" t="s">
        <v>171</v>
      </c>
      <c r="D26" s="2" t="s">
        <v>157</v>
      </c>
      <c r="E26" s="2" t="s">
        <v>172</v>
      </c>
      <c r="F26" s="2" t="s">
        <v>27</v>
      </c>
      <c r="G26" s="2" t="s">
        <v>27</v>
      </c>
      <c r="H26" s="2" t="s">
        <v>158</v>
      </c>
      <c r="I26" s="2" t="s">
        <v>29</v>
      </c>
      <c r="J26" s="2" t="s">
        <v>159</v>
      </c>
      <c r="K26" s="2" t="s">
        <v>160</v>
      </c>
      <c r="L26" s="2" t="s">
        <v>120</v>
      </c>
      <c r="M26" s="2" t="s">
        <v>172</v>
      </c>
      <c r="N26" s="2" t="s">
        <v>27</v>
      </c>
      <c r="O26" s="2" t="s">
        <v>27</v>
      </c>
      <c r="P26" s="2" t="s">
        <v>33</v>
      </c>
      <c r="Q26" s="2" t="s">
        <v>34</v>
      </c>
      <c r="R26" s="2"/>
      <c r="S26" s="2"/>
      <c r="T26" s="2"/>
      <c r="U26" s="2" t="s">
        <v>173</v>
      </c>
    </row>
    <row r="27" customFormat="false" ht="15" hidden="false" customHeight="false" outlineLevel="0" collapsed="false">
      <c r="A27" s="2" t="s">
        <v>174</v>
      </c>
      <c r="B27" s="2" t="s">
        <v>143</v>
      </c>
      <c r="C27" s="2" t="s">
        <v>107</v>
      </c>
      <c r="D27" s="2" t="s">
        <v>157</v>
      </c>
      <c r="E27" s="2" t="s">
        <v>27</v>
      </c>
      <c r="F27" s="2" t="s">
        <v>27</v>
      </c>
      <c r="G27" s="2" t="s">
        <v>27</v>
      </c>
      <c r="H27" s="2" t="s">
        <v>158</v>
      </c>
      <c r="I27" s="2" t="s">
        <v>29</v>
      </c>
      <c r="J27" s="2" t="s">
        <v>159</v>
      </c>
      <c r="K27" s="2" t="s">
        <v>160</v>
      </c>
      <c r="L27" s="2" t="s">
        <v>107</v>
      </c>
      <c r="M27" s="2" t="s">
        <v>27</v>
      </c>
      <c r="N27" s="2" t="s">
        <v>27</v>
      </c>
      <c r="O27" s="2" t="s">
        <v>27</v>
      </c>
      <c r="P27" s="2" t="s">
        <v>33</v>
      </c>
      <c r="Q27" s="2" t="s">
        <v>34</v>
      </c>
      <c r="R27" s="2"/>
      <c r="S27" s="2"/>
      <c r="T27" s="2"/>
      <c r="U27" s="2" t="s">
        <v>175</v>
      </c>
    </row>
    <row r="28" customFormat="false" ht="15" hidden="false" customHeight="false" outlineLevel="0" collapsed="false">
      <c r="A28" s="2" t="s">
        <v>176</v>
      </c>
      <c r="B28" s="2" t="s">
        <v>143</v>
      </c>
      <c r="C28" s="2" t="s">
        <v>38</v>
      </c>
      <c r="D28" s="2" t="s">
        <v>177</v>
      </c>
      <c r="E28" s="2" t="s">
        <v>145</v>
      </c>
      <c r="F28" s="2" t="s">
        <v>27</v>
      </c>
      <c r="G28" s="2" t="s">
        <v>178</v>
      </c>
      <c r="H28" s="2" t="s">
        <v>158</v>
      </c>
      <c r="I28" s="2" t="s">
        <v>29</v>
      </c>
      <c r="J28" s="2" t="s">
        <v>159</v>
      </c>
      <c r="K28" s="2" t="s">
        <v>179</v>
      </c>
      <c r="L28" s="2" t="s">
        <v>38</v>
      </c>
      <c r="M28" s="2" t="s">
        <v>145</v>
      </c>
      <c r="N28" s="2" t="s">
        <v>27</v>
      </c>
      <c r="O28" s="2" t="s">
        <v>27</v>
      </c>
      <c r="P28" s="2" t="s">
        <v>33</v>
      </c>
      <c r="Q28" s="2" t="s">
        <v>34</v>
      </c>
      <c r="R28" s="2"/>
      <c r="S28" s="2"/>
      <c r="T28" s="2"/>
      <c r="U28" s="2" t="s">
        <v>180</v>
      </c>
    </row>
    <row r="29" customFormat="false" ht="15" hidden="false" customHeight="false" outlineLevel="0" collapsed="false">
      <c r="A29" s="2" t="s">
        <v>181</v>
      </c>
      <c r="B29" s="2" t="s">
        <v>143</v>
      </c>
      <c r="C29" s="2" t="s">
        <v>107</v>
      </c>
      <c r="D29" s="2" t="s">
        <v>157</v>
      </c>
      <c r="E29" s="2" t="s">
        <v>27</v>
      </c>
      <c r="F29" s="2" t="s">
        <v>27</v>
      </c>
      <c r="G29" s="2" t="s">
        <v>27</v>
      </c>
      <c r="H29" s="2" t="s">
        <v>158</v>
      </c>
      <c r="I29" s="2" t="s">
        <v>29</v>
      </c>
      <c r="J29" s="2" t="s">
        <v>159</v>
      </c>
      <c r="K29" s="2" t="s">
        <v>160</v>
      </c>
      <c r="L29" s="2" t="s">
        <v>107</v>
      </c>
      <c r="M29" s="2" t="s">
        <v>27</v>
      </c>
      <c r="N29" s="2" t="s">
        <v>27</v>
      </c>
      <c r="O29" s="2" t="s">
        <v>27</v>
      </c>
      <c r="P29" s="2" t="s">
        <v>33</v>
      </c>
      <c r="Q29" s="2" t="s">
        <v>34</v>
      </c>
      <c r="R29" s="2"/>
      <c r="S29" s="2"/>
      <c r="T29" s="2"/>
      <c r="U29" s="2" t="s">
        <v>182</v>
      </c>
    </row>
    <row r="30" customFormat="false" ht="15" hidden="false" customHeight="false" outlineLevel="0" collapsed="false">
      <c r="A30" s="2" t="s">
        <v>183</v>
      </c>
      <c r="B30" s="2" t="s">
        <v>143</v>
      </c>
      <c r="C30" s="2" t="s">
        <v>38</v>
      </c>
      <c r="D30" s="2" t="s">
        <v>157</v>
      </c>
      <c r="E30" s="2" t="s">
        <v>27</v>
      </c>
      <c r="F30" s="2" t="s">
        <v>27</v>
      </c>
      <c r="G30" s="2" t="s">
        <v>27</v>
      </c>
      <c r="H30" s="2" t="s">
        <v>158</v>
      </c>
      <c r="I30" s="2" t="s">
        <v>29</v>
      </c>
      <c r="J30" s="2" t="s">
        <v>159</v>
      </c>
      <c r="K30" s="2" t="s">
        <v>160</v>
      </c>
      <c r="L30" s="2" t="s">
        <v>38</v>
      </c>
      <c r="M30" s="2" t="s">
        <v>27</v>
      </c>
      <c r="N30" s="2" t="s">
        <v>27</v>
      </c>
      <c r="O30" s="2" t="s">
        <v>27</v>
      </c>
      <c r="P30" s="2" t="s">
        <v>33</v>
      </c>
      <c r="Q30" s="2" t="s">
        <v>34</v>
      </c>
      <c r="R30" s="2"/>
      <c r="S30" s="2"/>
      <c r="T30" s="2"/>
      <c r="U30" s="2" t="s">
        <v>184</v>
      </c>
    </row>
    <row r="31" customFormat="false" ht="15" hidden="false" customHeight="false" outlineLevel="0" collapsed="false">
      <c r="A31" s="2" t="s">
        <v>185</v>
      </c>
      <c r="B31" s="2" t="s">
        <v>143</v>
      </c>
      <c r="C31" s="2" t="s">
        <v>91</v>
      </c>
      <c r="D31" s="2" t="s">
        <v>157</v>
      </c>
      <c r="E31" s="2" t="s">
        <v>27</v>
      </c>
      <c r="F31" s="2" t="s">
        <v>27</v>
      </c>
      <c r="G31" s="2" t="s">
        <v>27</v>
      </c>
      <c r="H31" s="2" t="s">
        <v>158</v>
      </c>
      <c r="I31" s="2" t="s">
        <v>29</v>
      </c>
      <c r="J31" s="2" t="s">
        <v>186</v>
      </c>
      <c r="K31" s="2"/>
      <c r="L31" s="2" t="s">
        <v>91</v>
      </c>
      <c r="M31" s="2" t="s">
        <v>27</v>
      </c>
      <c r="N31" s="2" t="s">
        <v>27</v>
      </c>
      <c r="O31" s="2" t="s">
        <v>27</v>
      </c>
      <c r="P31" s="2" t="s">
        <v>33</v>
      </c>
      <c r="Q31" s="2" t="s">
        <v>34</v>
      </c>
      <c r="R31" s="2"/>
      <c r="S31" s="2"/>
      <c r="T31" s="2"/>
      <c r="U31" s="2" t="s">
        <v>187</v>
      </c>
    </row>
    <row r="32" customFormat="false" ht="15" hidden="false" customHeight="false" outlineLevel="0" collapsed="false">
      <c r="A32" s="2" t="s">
        <v>188</v>
      </c>
      <c r="B32" s="2" t="s">
        <v>143</v>
      </c>
      <c r="C32" s="2" t="s">
        <v>107</v>
      </c>
      <c r="D32" s="2" t="s">
        <v>157</v>
      </c>
      <c r="E32" s="2" t="s">
        <v>27</v>
      </c>
      <c r="F32" s="2" t="s">
        <v>189</v>
      </c>
      <c r="G32" s="2" t="s">
        <v>27</v>
      </c>
      <c r="H32" s="2" t="s">
        <v>158</v>
      </c>
      <c r="I32" s="2" t="s">
        <v>29</v>
      </c>
      <c r="J32" s="2" t="s">
        <v>186</v>
      </c>
      <c r="K32" s="2" t="s">
        <v>160</v>
      </c>
      <c r="L32" s="2" t="s">
        <v>107</v>
      </c>
      <c r="M32" s="2" t="s">
        <v>27</v>
      </c>
      <c r="N32" s="2" t="s">
        <v>27</v>
      </c>
      <c r="O32" s="2" t="s">
        <v>32</v>
      </c>
      <c r="P32" s="2" t="s">
        <v>33</v>
      </c>
      <c r="Q32" s="2" t="s">
        <v>34</v>
      </c>
      <c r="R32" s="2"/>
      <c r="S32" s="2"/>
      <c r="T32" s="2"/>
      <c r="U32" s="2" t="s">
        <v>190</v>
      </c>
    </row>
    <row r="33" customFormat="false" ht="15" hidden="false" customHeight="false" outlineLevel="0" collapsed="false">
      <c r="A33" s="2" t="s">
        <v>191</v>
      </c>
      <c r="B33" s="2" t="s">
        <v>143</v>
      </c>
      <c r="C33" s="2" t="s">
        <v>192</v>
      </c>
      <c r="D33" s="2" t="s">
        <v>157</v>
      </c>
      <c r="E33" s="2" t="s">
        <v>27</v>
      </c>
      <c r="F33" s="2" t="s">
        <v>27</v>
      </c>
      <c r="G33" s="2" t="s">
        <v>27</v>
      </c>
      <c r="H33" s="2" t="s">
        <v>158</v>
      </c>
      <c r="I33" s="2" t="s">
        <v>29</v>
      </c>
      <c r="J33" s="2" t="s">
        <v>186</v>
      </c>
      <c r="K33" s="2"/>
      <c r="L33" s="2" t="s">
        <v>38</v>
      </c>
      <c r="M33" s="2" t="s">
        <v>27</v>
      </c>
      <c r="N33" s="2" t="s">
        <v>27</v>
      </c>
      <c r="O33" s="2" t="s">
        <v>27</v>
      </c>
      <c r="P33" s="2" t="s">
        <v>33</v>
      </c>
      <c r="Q33" s="2" t="s">
        <v>34</v>
      </c>
      <c r="R33" s="2"/>
      <c r="S33" s="2"/>
      <c r="T33" s="2"/>
      <c r="U33" s="2" t="s">
        <v>193</v>
      </c>
    </row>
    <row r="34" customFormat="false" ht="15" hidden="false" customHeight="false" outlineLevel="0" collapsed="false">
      <c r="A34" s="2" t="s">
        <v>194</v>
      </c>
      <c r="B34" s="2" t="s">
        <v>143</v>
      </c>
      <c r="C34" s="2" t="s">
        <v>38</v>
      </c>
      <c r="D34" s="2" t="s">
        <v>157</v>
      </c>
      <c r="E34" s="2" t="s">
        <v>27</v>
      </c>
      <c r="F34" s="2" t="s">
        <v>195</v>
      </c>
      <c r="G34" s="2" t="s">
        <v>27</v>
      </c>
      <c r="H34" s="2" t="s">
        <v>158</v>
      </c>
      <c r="I34" s="2" t="s">
        <v>29</v>
      </c>
      <c r="J34" s="2" t="s">
        <v>186</v>
      </c>
      <c r="K34" s="2" t="s">
        <v>160</v>
      </c>
      <c r="L34" s="2" t="s">
        <v>38</v>
      </c>
      <c r="M34" s="2" t="s">
        <v>27</v>
      </c>
      <c r="N34" s="2" t="s">
        <v>27</v>
      </c>
      <c r="O34" s="2" t="s">
        <v>32</v>
      </c>
      <c r="P34" s="2" t="s">
        <v>33</v>
      </c>
      <c r="Q34" s="2" t="s">
        <v>34</v>
      </c>
      <c r="R34" s="2"/>
      <c r="S34" s="2"/>
      <c r="T34" s="2"/>
      <c r="U34" s="2" t="s">
        <v>196</v>
      </c>
    </row>
    <row r="35" customFormat="false" ht="15" hidden="false" customHeight="false" outlineLevel="0" collapsed="false">
      <c r="A35" s="2" t="s">
        <v>197</v>
      </c>
      <c r="B35" s="2" t="s">
        <v>143</v>
      </c>
      <c r="C35" s="2" t="s">
        <v>38</v>
      </c>
      <c r="D35" s="2" t="s">
        <v>157</v>
      </c>
      <c r="E35" s="2" t="s">
        <v>145</v>
      </c>
      <c r="F35" s="2" t="s">
        <v>27</v>
      </c>
      <c r="G35" s="2" t="s">
        <v>178</v>
      </c>
      <c r="H35" s="2" t="s">
        <v>158</v>
      </c>
      <c r="I35" s="2" t="s">
        <v>29</v>
      </c>
      <c r="J35" s="2" t="s">
        <v>186</v>
      </c>
      <c r="K35" s="2" t="s">
        <v>198</v>
      </c>
      <c r="L35" s="2" t="s">
        <v>38</v>
      </c>
      <c r="M35" s="2" t="s">
        <v>145</v>
      </c>
      <c r="N35" s="2" t="s">
        <v>27</v>
      </c>
      <c r="O35" s="2" t="s">
        <v>27</v>
      </c>
      <c r="P35" s="2" t="s">
        <v>33</v>
      </c>
      <c r="Q35" s="2" t="s">
        <v>34</v>
      </c>
      <c r="R35" s="2"/>
      <c r="S35" s="2"/>
      <c r="T35" s="2"/>
      <c r="U35" s="2" t="s">
        <v>199</v>
      </c>
    </row>
    <row r="36" customFormat="false" ht="15" hidden="false" customHeight="false" outlineLevel="0" collapsed="false">
      <c r="A36" s="2" t="s">
        <v>200</v>
      </c>
      <c r="B36" s="2" t="s">
        <v>143</v>
      </c>
      <c r="C36" s="2" t="s">
        <v>91</v>
      </c>
      <c r="D36" s="2" t="s">
        <v>157</v>
      </c>
      <c r="E36" s="2" t="s">
        <v>27</v>
      </c>
      <c r="F36" s="2" t="s">
        <v>27</v>
      </c>
      <c r="G36" s="2" t="s">
        <v>27</v>
      </c>
      <c r="H36" s="2" t="s">
        <v>158</v>
      </c>
      <c r="I36" s="2" t="s">
        <v>29</v>
      </c>
      <c r="J36" s="2" t="s">
        <v>186</v>
      </c>
      <c r="K36" s="2" t="s">
        <v>160</v>
      </c>
      <c r="L36" s="2" t="s">
        <v>91</v>
      </c>
      <c r="M36" s="2" t="s">
        <v>27</v>
      </c>
      <c r="N36" s="2" t="s">
        <v>27</v>
      </c>
      <c r="O36" s="2" t="s">
        <v>27</v>
      </c>
      <c r="P36" s="2" t="s">
        <v>33</v>
      </c>
      <c r="Q36" s="2" t="s">
        <v>34</v>
      </c>
      <c r="R36" s="2"/>
      <c r="S36" s="2"/>
      <c r="T36" s="2"/>
      <c r="U36" s="2" t="s">
        <v>201</v>
      </c>
    </row>
    <row r="37" customFormat="false" ht="15" hidden="false" customHeight="false" outlineLevel="0" collapsed="false">
      <c r="A37" s="2" t="s">
        <v>202</v>
      </c>
      <c r="B37" s="2" t="s">
        <v>143</v>
      </c>
      <c r="C37" s="2" t="s">
        <v>91</v>
      </c>
      <c r="D37" s="2" t="s">
        <v>157</v>
      </c>
      <c r="E37" s="2" t="s">
        <v>27</v>
      </c>
      <c r="F37" s="2" t="s">
        <v>189</v>
      </c>
      <c r="G37" s="2" t="s">
        <v>27</v>
      </c>
      <c r="H37" s="2" t="s">
        <v>158</v>
      </c>
      <c r="I37" s="2" t="s">
        <v>29</v>
      </c>
      <c r="J37" s="2" t="s">
        <v>203</v>
      </c>
      <c r="K37" s="2" t="s">
        <v>160</v>
      </c>
      <c r="L37" s="2" t="s">
        <v>91</v>
      </c>
      <c r="M37" s="2" t="s">
        <v>27</v>
      </c>
      <c r="N37" s="2" t="s">
        <v>27</v>
      </c>
      <c r="O37" s="2" t="s">
        <v>32</v>
      </c>
      <c r="P37" s="2" t="s">
        <v>33</v>
      </c>
      <c r="Q37" s="2" t="s">
        <v>34</v>
      </c>
      <c r="R37" s="2"/>
      <c r="S37" s="2"/>
      <c r="T37" s="2"/>
      <c r="U37" s="2" t="s">
        <v>204</v>
      </c>
    </row>
    <row r="38" customFormat="false" ht="15" hidden="false" customHeight="false" outlineLevel="0" collapsed="false">
      <c r="A38" s="2" t="s">
        <v>205</v>
      </c>
      <c r="B38" s="2" t="s">
        <v>143</v>
      </c>
      <c r="C38" s="2" t="s">
        <v>38</v>
      </c>
      <c r="D38" s="2" t="s">
        <v>157</v>
      </c>
      <c r="E38" s="2" t="s">
        <v>206</v>
      </c>
      <c r="F38" s="2" t="s">
        <v>83</v>
      </c>
      <c r="G38" s="2" t="s">
        <v>27</v>
      </c>
      <c r="H38" s="2" t="s">
        <v>158</v>
      </c>
      <c r="I38" s="2" t="s">
        <v>29</v>
      </c>
      <c r="J38" s="2" t="s">
        <v>203</v>
      </c>
      <c r="K38" s="2"/>
      <c r="L38" s="2" t="s">
        <v>38</v>
      </c>
      <c r="M38" s="2" t="s">
        <v>27</v>
      </c>
      <c r="N38" s="2" t="s">
        <v>206</v>
      </c>
      <c r="O38" s="2" t="s">
        <v>43</v>
      </c>
      <c r="P38" s="2" t="s">
        <v>33</v>
      </c>
      <c r="Q38" s="2" t="s">
        <v>34</v>
      </c>
      <c r="R38" s="2"/>
      <c r="S38" s="2"/>
      <c r="T38" s="2"/>
      <c r="U38" s="2" t="s">
        <v>207</v>
      </c>
    </row>
    <row r="39" customFormat="false" ht="15" hidden="false" customHeight="false" outlineLevel="0" collapsed="false">
      <c r="A39" s="2" t="s">
        <v>208</v>
      </c>
      <c r="B39" s="2" t="s">
        <v>143</v>
      </c>
      <c r="C39" s="2" t="s">
        <v>91</v>
      </c>
      <c r="D39" s="2" t="s">
        <v>209</v>
      </c>
      <c r="E39" s="2" t="s">
        <v>27</v>
      </c>
      <c r="F39" s="2" t="s">
        <v>27</v>
      </c>
      <c r="G39" s="2" t="s">
        <v>27</v>
      </c>
      <c r="H39" s="2" t="s">
        <v>158</v>
      </c>
      <c r="I39" s="2" t="s">
        <v>29</v>
      </c>
      <c r="J39" s="2" t="s">
        <v>203</v>
      </c>
      <c r="K39" s="2" t="s">
        <v>160</v>
      </c>
      <c r="L39" s="2" t="s">
        <v>91</v>
      </c>
      <c r="M39" s="2" t="s">
        <v>27</v>
      </c>
      <c r="N39" s="2" t="s">
        <v>27</v>
      </c>
      <c r="O39" s="2" t="s">
        <v>27</v>
      </c>
      <c r="P39" s="2" t="s">
        <v>33</v>
      </c>
      <c r="Q39" s="2" t="s">
        <v>34</v>
      </c>
      <c r="R39" s="2"/>
      <c r="S39" s="2"/>
      <c r="T39" s="2"/>
      <c r="U39" s="2" t="s">
        <v>210</v>
      </c>
    </row>
    <row r="40" customFormat="false" ht="15" hidden="false" customHeight="false" outlineLevel="0" collapsed="false">
      <c r="A40" s="2" t="s">
        <v>200</v>
      </c>
      <c r="B40" s="2" t="s">
        <v>211</v>
      </c>
      <c r="C40" s="2" t="s">
        <v>91</v>
      </c>
      <c r="D40" s="2" t="s">
        <v>66</v>
      </c>
      <c r="E40" s="2" t="s">
        <v>27</v>
      </c>
      <c r="F40" s="2" t="s">
        <v>27</v>
      </c>
      <c r="G40" s="2" t="s">
        <v>27</v>
      </c>
      <c r="H40" s="2" t="s">
        <v>158</v>
      </c>
      <c r="I40" s="2" t="s">
        <v>212</v>
      </c>
      <c r="J40" s="2" t="s">
        <v>213</v>
      </c>
      <c r="K40" s="2" t="s">
        <v>214</v>
      </c>
      <c r="L40" s="2" t="s">
        <v>91</v>
      </c>
      <c r="M40" s="2" t="s">
        <v>27</v>
      </c>
      <c r="N40" s="2" t="s">
        <v>27</v>
      </c>
      <c r="O40" s="2" t="s">
        <v>27</v>
      </c>
      <c r="P40" s="2" t="s">
        <v>33</v>
      </c>
      <c r="Q40" s="2" t="s">
        <v>212</v>
      </c>
      <c r="R40" s="2"/>
      <c r="S40" s="2"/>
      <c r="T40" s="2"/>
      <c r="U40" s="2" t="s">
        <v>215</v>
      </c>
    </row>
    <row r="41" customFormat="false" ht="15" hidden="false" customHeight="false" outlineLevel="0" collapsed="false">
      <c r="A41" s="2" t="s">
        <v>216</v>
      </c>
      <c r="B41" s="2" t="s">
        <v>217</v>
      </c>
      <c r="C41" s="2" t="s">
        <v>38</v>
      </c>
      <c r="D41" s="2" t="s">
        <v>218</v>
      </c>
      <c r="E41" s="2" t="s">
        <v>219</v>
      </c>
      <c r="F41" s="2" t="s">
        <v>220</v>
      </c>
      <c r="G41" s="2" t="s">
        <v>221</v>
      </c>
      <c r="H41" s="2" t="s">
        <v>222</v>
      </c>
      <c r="I41" s="2" t="s">
        <v>133</v>
      </c>
      <c r="J41" s="2" t="s">
        <v>223</v>
      </c>
      <c r="K41" s="2" t="s">
        <v>224</v>
      </c>
      <c r="L41" s="2" t="s">
        <v>38</v>
      </c>
      <c r="M41" s="2" t="s">
        <v>27</v>
      </c>
      <c r="N41" s="2" t="s">
        <v>225</v>
      </c>
      <c r="O41" s="2" t="s">
        <v>32</v>
      </c>
      <c r="P41" s="2" t="s">
        <v>53</v>
      </c>
      <c r="Q41" s="2" t="s">
        <v>136</v>
      </c>
      <c r="R41" s="2" t="s">
        <v>226</v>
      </c>
      <c r="S41" s="2" t="n">
        <v>2750</v>
      </c>
      <c r="T41" s="2"/>
      <c r="U41" s="2" t="s">
        <v>227</v>
      </c>
    </row>
    <row r="42" customFormat="false" ht="15" hidden="false" customHeight="false" outlineLevel="0" collapsed="false">
      <c r="A42" s="2" t="s">
        <v>228</v>
      </c>
      <c r="B42" s="2" t="s">
        <v>229</v>
      </c>
      <c r="C42" s="2" t="s">
        <v>27</v>
      </c>
      <c r="D42" s="2" t="s">
        <v>39</v>
      </c>
      <c r="E42" s="2" t="s">
        <v>27</v>
      </c>
      <c r="F42" s="2" t="s">
        <v>27</v>
      </c>
      <c r="G42" s="2" t="s">
        <v>27</v>
      </c>
      <c r="H42" s="2" t="s">
        <v>222</v>
      </c>
      <c r="I42" s="2" t="s">
        <v>133</v>
      </c>
      <c r="J42" s="2" t="s">
        <v>223</v>
      </c>
      <c r="K42" s="2" t="s">
        <v>230</v>
      </c>
      <c r="L42" s="2" t="s">
        <v>27</v>
      </c>
      <c r="M42" s="2" t="s">
        <v>27</v>
      </c>
      <c r="N42" s="2" t="s">
        <v>27</v>
      </c>
      <c r="O42" s="2" t="s">
        <v>27</v>
      </c>
      <c r="P42" s="2" t="s">
        <v>33</v>
      </c>
      <c r="Q42" s="2" t="s">
        <v>136</v>
      </c>
      <c r="R42" s="2"/>
      <c r="S42" s="2"/>
      <c r="T42" s="2"/>
      <c r="U42" s="2" t="s">
        <v>231</v>
      </c>
    </row>
    <row r="43" customFormat="false" ht="15" hidden="false" customHeight="false" outlineLevel="0" collapsed="false">
      <c r="A43" s="2" t="s">
        <v>232</v>
      </c>
      <c r="B43" s="2" t="s">
        <v>229</v>
      </c>
      <c r="C43" s="2" t="s">
        <v>27</v>
      </c>
      <c r="D43" s="2" t="s">
        <v>39</v>
      </c>
      <c r="E43" s="2" t="s">
        <v>27</v>
      </c>
      <c r="F43" s="2" t="s">
        <v>27</v>
      </c>
      <c r="G43" s="2" t="s">
        <v>27</v>
      </c>
      <c r="H43" s="2" t="s">
        <v>222</v>
      </c>
      <c r="I43" s="2" t="s">
        <v>133</v>
      </c>
      <c r="J43" s="2" t="s">
        <v>223</v>
      </c>
      <c r="K43" s="2" t="s">
        <v>233</v>
      </c>
      <c r="L43" s="2" t="s">
        <v>27</v>
      </c>
      <c r="M43" s="2" t="s">
        <v>27</v>
      </c>
      <c r="N43" s="2" t="s">
        <v>27</v>
      </c>
      <c r="O43" s="2" t="s">
        <v>27</v>
      </c>
      <c r="P43" s="2" t="s">
        <v>33</v>
      </c>
      <c r="Q43" s="2" t="s">
        <v>136</v>
      </c>
      <c r="R43" s="2"/>
      <c r="S43" s="2"/>
      <c r="T43" s="2"/>
      <c r="U43" s="2" t="s">
        <v>234</v>
      </c>
    </row>
    <row r="44" customFormat="false" ht="15" hidden="false" customHeight="false" outlineLevel="0" collapsed="false">
      <c r="A44" s="2" t="s">
        <v>235</v>
      </c>
      <c r="B44" s="2" t="s">
        <v>236</v>
      </c>
      <c r="C44" s="2" t="s">
        <v>91</v>
      </c>
      <c r="D44" s="2" t="s">
        <v>96</v>
      </c>
      <c r="E44" s="2" t="s">
        <v>25</v>
      </c>
      <c r="F44" s="2" t="s">
        <v>27</v>
      </c>
      <c r="G44" s="2" t="s">
        <v>27</v>
      </c>
      <c r="H44" s="2" t="s">
        <v>222</v>
      </c>
      <c r="I44" s="2" t="s">
        <v>133</v>
      </c>
      <c r="J44" s="2" t="s">
        <v>223</v>
      </c>
      <c r="K44" s="2" t="s">
        <v>237</v>
      </c>
      <c r="L44" s="2" t="s">
        <v>91</v>
      </c>
      <c r="M44" s="2" t="s">
        <v>25</v>
      </c>
      <c r="N44" s="2" t="s">
        <v>27</v>
      </c>
      <c r="O44" s="2" t="s">
        <v>27</v>
      </c>
      <c r="P44" s="2" t="s">
        <v>33</v>
      </c>
      <c r="Q44" s="2" t="s">
        <v>136</v>
      </c>
      <c r="R44" s="2"/>
      <c r="S44" s="2"/>
      <c r="T44" s="2"/>
      <c r="U44" s="2" t="s">
        <v>238</v>
      </c>
    </row>
    <row r="45" customFormat="false" ht="15" hidden="false" customHeight="false" outlineLevel="0" collapsed="false">
      <c r="A45" s="2" t="s">
        <v>239</v>
      </c>
      <c r="B45" s="2" t="s">
        <v>240</v>
      </c>
      <c r="C45" s="2" t="s">
        <v>91</v>
      </c>
      <c r="D45" s="2" t="s">
        <v>157</v>
      </c>
      <c r="E45" s="2" t="s">
        <v>241</v>
      </c>
      <c r="F45" s="2" t="s">
        <v>242</v>
      </c>
      <c r="G45" s="2" t="s">
        <v>27</v>
      </c>
      <c r="H45" s="2" t="s">
        <v>222</v>
      </c>
      <c r="I45" s="2" t="s">
        <v>133</v>
      </c>
      <c r="J45" s="2" t="s">
        <v>223</v>
      </c>
      <c r="K45" s="2" t="s">
        <v>243</v>
      </c>
      <c r="L45" s="2" t="s">
        <v>91</v>
      </c>
      <c r="M45" s="2" t="s">
        <v>25</v>
      </c>
      <c r="N45" s="2" t="s">
        <v>124</v>
      </c>
      <c r="O45" s="2" t="s">
        <v>32</v>
      </c>
      <c r="P45" s="2" t="s">
        <v>33</v>
      </c>
      <c r="Q45" s="2" t="s">
        <v>136</v>
      </c>
      <c r="R45" s="2"/>
      <c r="S45" s="2"/>
      <c r="T45" s="2"/>
      <c r="U45" s="2" t="s">
        <v>244</v>
      </c>
    </row>
    <row r="46" customFormat="false" ht="15" hidden="false" customHeight="false" outlineLevel="0" collapsed="false">
      <c r="A46" s="2" t="s">
        <v>245</v>
      </c>
      <c r="B46" s="2" t="s">
        <v>246</v>
      </c>
      <c r="C46" s="2" t="s">
        <v>131</v>
      </c>
      <c r="D46" s="2" t="s">
        <v>39</v>
      </c>
      <c r="E46" s="2" t="s">
        <v>27</v>
      </c>
      <c r="F46" s="2" t="s">
        <v>247</v>
      </c>
      <c r="G46" s="2" t="s">
        <v>27</v>
      </c>
      <c r="H46" s="2" t="s">
        <v>108</v>
      </c>
      <c r="I46" s="2" t="s">
        <v>133</v>
      </c>
      <c r="J46" s="2" t="s">
        <v>248</v>
      </c>
      <c r="K46" s="2" t="s">
        <v>249</v>
      </c>
      <c r="L46" s="2" t="s">
        <v>120</v>
      </c>
      <c r="M46" s="2" t="s">
        <v>27</v>
      </c>
      <c r="N46" s="2" t="s">
        <v>27</v>
      </c>
      <c r="O46" s="2" t="s">
        <v>32</v>
      </c>
      <c r="P46" s="2" t="s">
        <v>33</v>
      </c>
      <c r="Q46" s="2" t="s">
        <v>136</v>
      </c>
      <c r="R46" s="2"/>
      <c r="S46" s="2"/>
      <c r="T46" s="2"/>
      <c r="U46" s="2" t="s">
        <v>250</v>
      </c>
    </row>
    <row r="47" customFormat="false" ht="15" hidden="false" customHeight="false" outlineLevel="0" collapsed="false">
      <c r="A47" s="2" t="s">
        <v>200</v>
      </c>
      <c r="B47" s="2" t="s">
        <v>251</v>
      </c>
      <c r="C47" s="2" t="s">
        <v>131</v>
      </c>
      <c r="D47" s="2" t="s">
        <v>39</v>
      </c>
      <c r="E47" s="2" t="s">
        <v>27</v>
      </c>
      <c r="F47" s="2" t="s">
        <v>27</v>
      </c>
      <c r="G47" s="2" t="s">
        <v>27</v>
      </c>
      <c r="H47" s="2" t="s">
        <v>108</v>
      </c>
      <c r="I47" s="2" t="s">
        <v>133</v>
      </c>
      <c r="J47" s="2" t="s">
        <v>248</v>
      </c>
      <c r="K47" s="2" t="s">
        <v>252</v>
      </c>
      <c r="L47" s="2" t="s">
        <v>120</v>
      </c>
      <c r="M47" s="2" t="s">
        <v>27</v>
      </c>
      <c r="N47" s="2" t="s">
        <v>27</v>
      </c>
      <c r="O47" s="2" t="s">
        <v>27</v>
      </c>
      <c r="P47" s="2" t="s">
        <v>33</v>
      </c>
      <c r="Q47" s="2" t="s">
        <v>136</v>
      </c>
      <c r="R47" s="2"/>
      <c r="S47" s="2"/>
      <c r="T47" s="2"/>
      <c r="U47" s="2" t="s">
        <v>253</v>
      </c>
    </row>
    <row r="48" customFormat="false" ht="15" hidden="false" customHeight="false" outlineLevel="0" collapsed="false">
      <c r="A48" s="2" t="s">
        <v>254</v>
      </c>
      <c r="B48" s="2" t="s">
        <v>255</v>
      </c>
      <c r="C48" s="2" t="s">
        <v>131</v>
      </c>
      <c r="D48" s="2" t="s">
        <v>256</v>
      </c>
      <c r="E48" s="2" t="s">
        <v>27</v>
      </c>
      <c r="F48" s="2" t="s">
        <v>27</v>
      </c>
      <c r="G48" s="2" t="s">
        <v>27</v>
      </c>
      <c r="H48" s="2" t="s">
        <v>108</v>
      </c>
      <c r="I48" s="2" t="s">
        <v>133</v>
      </c>
      <c r="J48" s="2" t="s">
        <v>248</v>
      </c>
      <c r="K48" s="2" t="s">
        <v>257</v>
      </c>
      <c r="L48" s="2" t="s">
        <v>120</v>
      </c>
      <c r="M48" s="2" t="s">
        <v>27</v>
      </c>
      <c r="N48" s="2" t="s">
        <v>27</v>
      </c>
      <c r="O48" s="2" t="s">
        <v>27</v>
      </c>
      <c r="P48" s="2" t="s">
        <v>33</v>
      </c>
      <c r="Q48" s="2" t="s">
        <v>136</v>
      </c>
      <c r="R48" s="2"/>
      <c r="S48" s="2"/>
      <c r="T48" s="2"/>
      <c r="U48" s="2" t="s">
        <v>258</v>
      </c>
    </row>
    <row r="49" customFormat="false" ht="15" hidden="false" customHeight="false" outlineLevel="0" collapsed="false">
      <c r="A49" s="2" t="s">
        <v>259</v>
      </c>
      <c r="B49" s="2" t="s">
        <v>260</v>
      </c>
      <c r="C49" s="2" t="s">
        <v>131</v>
      </c>
      <c r="D49" s="2" t="s">
        <v>261</v>
      </c>
      <c r="E49" s="2" t="s">
        <v>27</v>
      </c>
      <c r="F49" s="2" t="s">
        <v>27</v>
      </c>
      <c r="G49" s="2" t="s">
        <v>27</v>
      </c>
      <c r="H49" s="2" t="s">
        <v>108</v>
      </c>
      <c r="I49" s="2" t="s">
        <v>133</v>
      </c>
      <c r="J49" s="2" t="s">
        <v>248</v>
      </c>
      <c r="K49" s="2" t="s">
        <v>262</v>
      </c>
      <c r="L49" s="2" t="s">
        <v>120</v>
      </c>
      <c r="M49" s="2" t="s">
        <v>27</v>
      </c>
      <c r="N49" s="2" t="s">
        <v>27</v>
      </c>
      <c r="O49" s="2" t="s">
        <v>27</v>
      </c>
      <c r="P49" s="2" t="s">
        <v>33</v>
      </c>
      <c r="Q49" s="2" t="s">
        <v>136</v>
      </c>
      <c r="R49" s="2"/>
      <c r="S49" s="2"/>
      <c r="T49" s="2"/>
      <c r="U49" s="2" t="s">
        <v>263</v>
      </c>
    </row>
    <row r="50" customFormat="false" ht="15" hidden="false" customHeight="false" outlineLevel="0" collapsed="false">
      <c r="A50" s="2" t="s">
        <v>264</v>
      </c>
      <c r="B50" s="2" t="s">
        <v>265</v>
      </c>
      <c r="C50" s="2" t="s">
        <v>131</v>
      </c>
      <c r="D50" s="2" t="s">
        <v>266</v>
      </c>
      <c r="E50" s="2" t="s">
        <v>27</v>
      </c>
      <c r="F50" s="2" t="s">
        <v>27</v>
      </c>
      <c r="G50" s="2" t="s">
        <v>27</v>
      </c>
      <c r="H50" s="2" t="s">
        <v>108</v>
      </c>
      <c r="I50" s="2" t="s">
        <v>133</v>
      </c>
      <c r="J50" s="2" t="s">
        <v>248</v>
      </c>
      <c r="K50" s="2" t="s">
        <v>267</v>
      </c>
      <c r="L50" s="2" t="s">
        <v>120</v>
      </c>
      <c r="M50" s="2" t="s">
        <v>27</v>
      </c>
      <c r="N50" s="2" t="s">
        <v>27</v>
      </c>
      <c r="O50" s="2" t="s">
        <v>27</v>
      </c>
      <c r="P50" s="2" t="s">
        <v>33</v>
      </c>
      <c r="Q50" s="2" t="s">
        <v>136</v>
      </c>
      <c r="R50" s="2"/>
      <c r="S50" s="2"/>
      <c r="T50" s="2"/>
      <c r="U50" s="2" t="s">
        <v>268</v>
      </c>
    </row>
    <row r="51" customFormat="false" ht="15" hidden="false" customHeight="false" outlineLevel="0" collapsed="false">
      <c r="A51" s="2" t="s">
        <v>269</v>
      </c>
      <c r="B51" s="2" t="s">
        <v>270</v>
      </c>
      <c r="C51" s="2" t="s">
        <v>131</v>
      </c>
      <c r="D51" s="2" t="s">
        <v>39</v>
      </c>
      <c r="E51" s="2" t="s">
        <v>27</v>
      </c>
      <c r="F51" s="2" t="s">
        <v>27</v>
      </c>
      <c r="G51" s="2" t="s">
        <v>27</v>
      </c>
      <c r="H51" s="2" t="s">
        <v>108</v>
      </c>
      <c r="I51" s="2" t="s">
        <v>133</v>
      </c>
      <c r="J51" s="2" t="s">
        <v>248</v>
      </c>
      <c r="K51" s="2" t="s">
        <v>271</v>
      </c>
      <c r="L51" s="2" t="s">
        <v>120</v>
      </c>
      <c r="M51" s="2" t="s">
        <v>27</v>
      </c>
      <c r="N51" s="2" t="s">
        <v>27</v>
      </c>
      <c r="O51" s="2" t="s">
        <v>27</v>
      </c>
      <c r="P51" s="2" t="s">
        <v>33</v>
      </c>
      <c r="Q51" s="2" t="s">
        <v>136</v>
      </c>
      <c r="R51" s="2"/>
      <c r="S51" s="2"/>
      <c r="T51" s="2"/>
      <c r="U51" s="2" t="s">
        <v>272</v>
      </c>
    </row>
    <row r="52" customFormat="false" ht="15" hidden="false" customHeight="false" outlineLevel="0" collapsed="false">
      <c r="A52" s="2" t="s">
        <v>273</v>
      </c>
      <c r="B52" s="2" t="s">
        <v>274</v>
      </c>
      <c r="C52" s="2" t="s">
        <v>91</v>
      </c>
      <c r="D52" s="2" t="s">
        <v>39</v>
      </c>
      <c r="E52" s="2" t="s">
        <v>27</v>
      </c>
      <c r="F52" s="2" t="s">
        <v>242</v>
      </c>
      <c r="G52" s="2" t="s">
        <v>27</v>
      </c>
      <c r="H52" s="2" t="s">
        <v>275</v>
      </c>
      <c r="I52" s="2" t="s">
        <v>34</v>
      </c>
      <c r="J52" s="2" t="s">
        <v>276</v>
      </c>
      <c r="K52" s="2" t="s">
        <v>277</v>
      </c>
      <c r="L52" s="2" t="s">
        <v>91</v>
      </c>
      <c r="M52" s="2" t="s">
        <v>27</v>
      </c>
      <c r="N52" s="2" t="s">
        <v>27</v>
      </c>
      <c r="O52" s="2" t="s">
        <v>32</v>
      </c>
      <c r="P52" s="2" t="s">
        <v>33</v>
      </c>
      <c r="Q52" s="2" t="s">
        <v>34</v>
      </c>
      <c r="R52" s="2"/>
      <c r="S52" s="2"/>
      <c r="T52" s="2"/>
      <c r="U52" s="2" t="s">
        <v>278</v>
      </c>
    </row>
    <row r="53" customFormat="false" ht="15" hidden="false" customHeight="false" outlineLevel="0" collapsed="false">
      <c r="A53" s="2" t="s">
        <v>279</v>
      </c>
      <c r="B53" s="2" t="s">
        <v>280</v>
      </c>
      <c r="C53" s="2" t="s">
        <v>91</v>
      </c>
      <c r="D53" s="2" t="s">
        <v>39</v>
      </c>
      <c r="E53" s="2" t="s">
        <v>27</v>
      </c>
      <c r="F53" s="2" t="s">
        <v>281</v>
      </c>
      <c r="G53" s="2" t="s">
        <v>27</v>
      </c>
      <c r="H53" s="2" t="s">
        <v>275</v>
      </c>
      <c r="I53" s="2" t="s">
        <v>34</v>
      </c>
      <c r="J53" s="2" t="s">
        <v>282</v>
      </c>
      <c r="K53" s="2"/>
      <c r="L53" s="2" t="s">
        <v>91</v>
      </c>
      <c r="M53" s="2" t="s">
        <v>27</v>
      </c>
      <c r="N53" s="2" t="s">
        <v>27</v>
      </c>
      <c r="O53" s="2" t="s">
        <v>52</v>
      </c>
      <c r="P53" s="2" t="s">
        <v>33</v>
      </c>
      <c r="Q53" s="2" t="s">
        <v>34</v>
      </c>
      <c r="R53" s="2"/>
      <c r="S53" s="2"/>
      <c r="T53" s="2"/>
      <c r="U53" s="2" t="s">
        <v>283</v>
      </c>
    </row>
    <row r="54" customFormat="false" ht="15" hidden="false" customHeight="false" outlineLevel="0" collapsed="false">
      <c r="A54" s="2" t="s">
        <v>284</v>
      </c>
      <c r="B54" s="2" t="s">
        <v>285</v>
      </c>
      <c r="C54" s="2" t="s">
        <v>91</v>
      </c>
      <c r="D54" s="2" t="s">
        <v>39</v>
      </c>
      <c r="E54" s="2" t="s">
        <v>27</v>
      </c>
      <c r="F54" s="2" t="s">
        <v>27</v>
      </c>
      <c r="G54" s="2" t="s">
        <v>27</v>
      </c>
      <c r="H54" s="2" t="s">
        <v>275</v>
      </c>
      <c r="I54" s="2" t="s">
        <v>34</v>
      </c>
      <c r="J54" s="2" t="s">
        <v>282</v>
      </c>
      <c r="K54" s="2" t="s">
        <v>286</v>
      </c>
      <c r="L54" s="2" t="s">
        <v>91</v>
      </c>
      <c r="M54" s="2" t="s">
        <v>27</v>
      </c>
      <c r="N54" s="2" t="s">
        <v>27</v>
      </c>
      <c r="O54" s="2" t="s">
        <v>27</v>
      </c>
      <c r="P54" s="2" t="s">
        <v>33</v>
      </c>
      <c r="Q54" s="2" t="s">
        <v>34</v>
      </c>
      <c r="R54" s="2"/>
      <c r="S54" s="2"/>
      <c r="T54" s="2"/>
      <c r="U54" s="2" t="s">
        <v>287</v>
      </c>
    </row>
    <row r="55" customFormat="false" ht="15" hidden="false" customHeight="false" outlineLevel="0" collapsed="false">
      <c r="A55" s="2" t="s">
        <v>288</v>
      </c>
      <c r="B55" s="2" t="s">
        <v>289</v>
      </c>
      <c r="C55" s="2" t="s">
        <v>91</v>
      </c>
      <c r="D55" s="2" t="s">
        <v>96</v>
      </c>
      <c r="E55" s="2" t="s">
        <v>27</v>
      </c>
      <c r="F55" s="2" t="s">
        <v>27</v>
      </c>
      <c r="G55" s="2" t="s">
        <v>27</v>
      </c>
      <c r="H55" s="2" t="s">
        <v>275</v>
      </c>
      <c r="I55" s="2" t="s">
        <v>34</v>
      </c>
      <c r="J55" s="2" t="s">
        <v>282</v>
      </c>
      <c r="K55" s="2"/>
      <c r="L55" s="2" t="s">
        <v>91</v>
      </c>
      <c r="M55" s="2" t="s">
        <v>27</v>
      </c>
      <c r="N55" s="2" t="s">
        <v>27</v>
      </c>
      <c r="O55" s="2" t="s">
        <v>27</v>
      </c>
      <c r="P55" s="2" t="s">
        <v>33</v>
      </c>
      <c r="Q55" s="2" t="s">
        <v>34</v>
      </c>
      <c r="R55" s="2"/>
      <c r="S55" s="2"/>
      <c r="T55" s="2"/>
      <c r="U55" s="2" t="s">
        <v>290</v>
      </c>
    </row>
    <row r="56" customFormat="false" ht="15" hidden="false" customHeight="false" outlineLevel="0" collapsed="false">
      <c r="A56" s="2" t="s">
        <v>291</v>
      </c>
      <c r="B56" s="2" t="s">
        <v>292</v>
      </c>
      <c r="C56" s="2" t="s">
        <v>293</v>
      </c>
      <c r="D56" s="2" t="s">
        <v>24</v>
      </c>
      <c r="E56" s="2" t="s">
        <v>27</v>
      </c>
      <c r="F56" s="2" t="s">
        <v>27</v>
      </c>
      <c r="G56" s="2" t="s">
        <v>27</v>
      </c>
      <c r="H56" s="2" t="s">
        <v>275</v>
      </c>
      <c r="I56" s="2" t="s">
        <v>34</v>
      </c>
      <c r="J56" s="2" t="s">
        <v>282</v>
      </c>
      <c r="K56" s="2" t="s">
        <v>294</v>
      </c>
      <c r="L56" s="2" t="s">
        <v>91</v>
      </c>
      <c r="M56" s="2" t="s">
        <v>27</v>
      </c>
      <c r="N56" s="2" t="s">
        <v>27</v>
      </c>
      <c r="O56" s="2" t="s">
        <v>27</v>
      </c>
      <c r="P56" s="2" t="s">
        <v>33</v>
      </c>
      <c r="Q56" s="2" t="s">
        <v>34</v>
      </c>
      <c r="R56" s="2"/>
      <c r="S56" s="2"/>
      <c r="T56" s="2"/>
      <c r="U56" s="2" t="s">
        <v>295</v>
      </c>
    </row>
    <row r="57" customFormat="false" ht="15" hidden="false" customHeight="false" outlineLevel="0" collapsed="false">
      <c r="A57" s="2" t="s">
        <v>296</v>
      </c>
      <c r="B57" s="2" t="s">
        <v>297</v>
      </c>
      <c r="C57" s="2" t="s">
        <v>91</v>
      </c>
      <c r="D57" s="2" t="s">
        <v>298</v>
      </c>
      <c r="E57" s="2" t="s">
        <v>27</v>
      </c>
      <c r="F57" s="2" t="s">
        <v>299</v>
      </c>
      <c r="G57" s="2" t="s">
        <v>27</v>
      </c>
      <c r="H57" s="2" t="s">
        <v>275</v>
      </c>
      <c r="I57" s="2" t="s">
        <v>34</v>
      </c>
      <c r="J57" s="2" t="s">
        <v>282</v>
      </c>
      <c r="K57" s="2" t="s">
        <v>300</v>
      </c>
      <c r="L57" s="2" t="s">
        <v>91</v>
      </c>
      <c r="M57" s="2" t="s">
        <v>27</v>
      </c>
      <c r="N57" s="2" t="s">
        <v>27</v>
      </c>
      <c r="O57" s="2" t="s">
        <v>52</v>
      </c>
      <c r="P57" s="2" t="s">
        <v>33</v>
      </c>
      <c r="Q57" s="2" t="s">
        <v>34</v>
      </c>
      <c r="R57" s="2"/>
      <c r="S57" s="2"/>
      <c r="T57" s="2"/>
      <c r="U57" s="2" t="s">
        <v>301</v>
      </c>
    </row>
    <row r="58" customFormat="false" ht="15" hidden="false" customHeight="false" outlineLevel="0" collapsed="false">
      <c r="A58" s="2" t="s">
        <v>302</v>
      </c>
      <c r="B58" s="2" t="s">
        <v>303</v>
      </c>
      <c r="C58" s="2" t="s">
        <v>91</v>
      </c>
      <c r="D58" s="2" t="s">
        <v>304</v>
      </c>
      <c r="E58" s="2" t="s">
        <v>305</v>
      </c>
      <c r="F58" s="2" t="s">
        <v>306</v>
      </c>
      <c r="G58" s="2" t="s">
        <v>27</v>
      </c>
      <c r="H58" s="2" t="s">
        <v>275</v>
      </c>
      <c r="I58" s="2" t="s">
        <v>34</v>
      </c>
      <c r="J58" s="2" t="s">
        <v>282</v>
      </c>
      <c r="K58" s="2"/>
      <c r="L58" s="2" t="s">
        <v>91</v>
      </c>
      <c r="M58" s="2" t="s">
        <v>27</v>
      </c>
      <c r="N58" s="2" t="s">
        <v>305</v>
      </c>
      <c r="O58" s="2" t="s">
        <v>43</v>
      </c>
      <c r="P58" s="2" t="s">
        <v>33</v>
      </c>
      <c r="Q58" s="2" t="s">
        <v>34</v>
      </c>
      <c r="R58" s="2"/>
      <c r="S58" s="2"/>
      <c r="T58" s="2"/>
      <c r="U58" s="2" t="s">
        <v>307</v>
      </c>
    </row>
    <row r="59" customFormat="false" ht="15" hidden="false" customHeight="false" outlineLevel="0" collapsed="false">
      <c r="A59" s="2" t="s">
        <v>308</v>
      </c>
      <c r="B59" s="2" t="s">
        <v>309</v>
      </c>
      <c r="C59" s="2" t="s">
        <v>91</v>
      </c>
      <c r="D59" s="2" t="s">
        <v>310</v>
      </c>
      <c r="E59" s="2" t="s">
        <v>27</v>
      </c>
      <c r="F59" s="2" t="s">
        <v>27</v>
      </c>
      <c r="G59" s="2" t="s">
        <v>27</v>
      </c>
      <c r="H59" s="2" t="s">
        <v>275</v>
      </c>
      <c r="I59" s="2" t="s">
        <v>311</v>
      </c>
      <c r="J59" s="2" t="s">
        <v>312</v>
      </c>
      <c r="K59" s="2"/>
      <c r="L59" s="2" t="s">
        <v>91</v>
      </c>
      <c r="M59" s="2" t="s">
        <v>27</v>
      </c>
      <c r="N59" s="2" t="s">
        <v>27</v>
      </c>
      <c r="O59" s="2" t="s">
        <v>27</v>
      </c>
      <c r="P59" s="2" t="s">
        <v>33</v>
      </c>
      <c r="Q59" s="2" t="s">
        <v>311</v>
      </c>
      <c r="R59" s="2"/>
      <c r="S59" s="2"/>
      <c r="T59" s="2"/>
      <c r="U59" s="2" t="s">
        <v>313</v>
      </c>
    </row>
    <row r="60" customFormat="false" ht="15" hidden="false" customHeight="false" outlineLevel="0" collapsed="false">
      <c r="A60" s="2" t="s">
        <v>314</v>
      </c>
      <c r="B60" s="2" t="s">
        <v>280</v>
      </c>
      <c r="C60" s="2" t="s">
        <v>91</v>
      </c>
      <c r="D60" s="2" t="s">
        <v>39</v>
      </c>
      <c r="E60" s="2" t="s">
        <v>27</v>
      </c>
      <c r="F60" s="2" t="s">
        <v>315</v>
      </c>
      <c r="G60" s="2" t="s">
        <v>27</v>
      </c>
      <c r="H60" s="2" t="s">
        <v>275</v>
      </c>
      <c r="I60" s="2" t="s">
        <v>311</v>
      </c>
      <c r="J60" s="2" t="s">
        <v>312</v>
      </c>
      <c r="K60" s="2"/>
      <c r="L60" s="2" t="s">
        <v>91</v>
      </c>
      <c r="M60" s="2" t="s">
        <v>27</v>
      </c>
      <c r="N60" s="2" t="s">
        <v>27</v>
      </c>
      <c r="O60" s="2" t="s">
        <v>52</v>
      </c>
      <c r="P60" s="2" t="s">
        <v>33</v>
      </c>
      <c r="Q60" s="2" t="s">
        <v>311</v>
      </c>
      <c r="R60" s="2"/>
      <c r="S60" s="2"/>
      <c r="T60" s="2"/>
      <c r="U60" s="2" t="s">
        <v>316</v>
      </c>
    </row>
    <row r="61" customFormat="false" ht="15" hidden="false" customHeight="false" outlineLevel="0" collapsed="false">
      <c r="A61" s="2" t="s">
        <v>273</v>
      </c>
      <c r="B61" s="2" t="s">
        <v>317</v>
      </c>
      <c r="C61" s="2" t="s">
        <v>91</v>
      </c>
      <c r="D61" s="2" t="s">
        <v>96</v>
      </c>
      <c r="E61" s="2" t="s">
        <v>27</v>
      </c>
      <c r="F61" s="2" t="s">
        <v>27</v>
      </c>
      <c r="G61" s="2" t="s">
        <v>27</v>
      </c>
      <c r="H61" s="2" t="s">
        <v>275</v>
      </c>
      <c r="I61" s="2" t="s">
        <v>311</v>
      </c>
      <c r="J61" s="2" t="s">
        <v>312</v>
      </c>
      <c r="K61" s="2" t="s">
        <v>318</v>
      </c>
      <c r="L61" s="2" t="s">
        <v>91</v>
      </c>
      <c r="M61" s="2" t="s">
        <v>27</v>
      </c>
      <c r="N61" s="2" t="s">
        <v>27</v>
      </c>
      <c r="O61" s="2" t="s">
        <v>27</v>
      </c>
      <c r="P61" s="2" t="s">
        <v>33</v>
      </c>
      <c r="Q61" s="2" t="s">
        <v>311</v>
      </c>
      <c r="R61" s="2"/>
      <c r="S61" s="2"/>
      <c r="T61" s="2"/>
      <c r="U61" s="2" t="s">
        <v>319</v>
      </c>
    </row>
    <row r="62" customFormat="false" ht="15" hidden="false" customHeight="false" outlineLevel="0" collapsed="false">
      <c r="A62" s="2" t="s">
        <v>320</v>
      </c>
      <c r="B62" s="2" t="s">
        <v>321</v>
      </c>
      <c r="C62" s="2" t="s">
        <v>171</v>
      </c>
      <c r="D62" s="2" t="s">
        <v>96</v>
      </c>
      <c r="E62" s="2" t="s">
        <v>172</v>
      </c>
      <c r="F62" s="2" t="s">
        <v>27</v>
      </c>
      <c r="G62" s="2" t="s">
        <v>27</v>
      </c>
      <c r="H62" s="2" t="s">
        <v>275</v>
      </c>
      <c r="I62" s="2" t="s">
        <v>322</v>
      </c>
      <c r="J62" s="2" t="s">
        <v>323</v>
      </c>
      <c r="K62" s="2" t="s">
        <v>324</v>
      </c>
      <c r="L62" s="2" t="s">
        <v>120</v>
      </c>
      <c r="M62" s="2" t="s">
        <v>172</v>
      </c>
      <c r="N62" s="2" t="s">
        <v>27</v>
      </c>
      <c r="O62" s="2" t="s">
        <v>27</v>
      </c>
      <c r="P62" s="2" t="s">
        <v>33</v>
      </c>
      <c r="Q62" s="2" t="s">
        <v>322</v>
      </c>
      <c r="R62" s="2"/>
      <c r="S62" s="2"/>
      <c r="T62" s="2"/>
      <c r="U62" s="2" t="s">
        <v>325</v>
      </c>
    </row>
    <row r="63" customFormat="false" ht="15" hidden="false" customHeight="false" outlineLevel="0" collapsed="false">
      <c r="A63" s="2" t="s">
        <v>191</v>
      </c>
      <c r="B63" s="2" t="s">
        <v>326</v>
      </c>
      <c r="C63" s="2" t="s">
        <v>38</v>
      </c>
      <c r="D63" s="2" t="s">
        <v>327</v>
      </c>
      <c r="E63" s="2" t="s">
        <v>27</v>
      </c>
      <c r="F63" s="2" t="s">
        <v>27</v>
      </c>
      <c r="G63" s="2" t="s">
        <v>27</v>
      </c>
      <c r="H63" s="2" t="s">
        <v>275</v>
      </c>
      <c r="I63" s="2" t="s">
        <v>322</v>
      </c>
      <c r="J63" s="2" t="s">
        <v>323</v>
      </c>
      <c r="K63" s="2"/>
      <c r="L63" s="2" t="s">
        <v>38</v>
      </c>
      <c r="M63" s="2" t="s">
        <v>27</v>
      </c>
      <c r="N63" s="2" t="s">
        <v>27</v>
      </c>
      <c r="O63" s="2" t="s">
        <v>27</v>
      </c>
      <c r="P63" s="2" t="s">
        <v>33</v>
      </c>
      <c r="Q63" s="2" t="s">
        <v>322</v>
      </c>
      <c r="R63" s="2"/>
      <c r="S63" s="2"/>
      <c r="T63" s="2"/>
      <c r="U63" s="2" t="s">
        <v>328</v>
      </c>
    </row>
    <row r="64" customFormat="false" ht="15" hidden="false" customHeight="false" outlineLevel="0" collapsed="false">
      <c r="A64" s="2" t="s">
        <v>329</v>
      </c>
      <c r="B64" s="2" t="s">
        <v>330</v>
      </c>
      <c r="C64" s="2" t="s">
        <v>131</v>
      </c>
      <c r="D64" s="2" t="s">
        <v>157</v>
      </c>
      <c r="E64" s="2" t="s">
        <v>27</v>
      </c>
      <c r="F64" s="2" t="s">
        <v>27</v>
      </c>
      <c r="G64" s="2" t="s">
        <v>27</v>
      </c>
      <c r="H64" s="2" t="s">
        <v>275</v>
      </c>
      <c r="I64" s="2" t="s">
        <v>322</v>
      </c>
      <c r="J64" s="2" t="s">
        <v>323</v>
      </c>
      <c r="K64" s="2"/>
      <c r="L64" s="2" t="s">
        <v>120</v>
      </c>
      <c r="M64" s="2" t="s">
        <v>27</v>
      </c>
      <c r="N64" s="2" t="s">
        <v>27</v>
      </c>
      <c r="O64" s="2" t="s">
        <v>27</v>
      </c>
      <c r="P64" s="2" t="s">
        <v>33</v>
      </c>
      <c r="Q64" s="2" t="s">
        <v>322</v>
      </c>
      <c r="R64" s="2"/>
      <c r="S64" s="2"/>
      <c r="T64" s="2"/>
      <c r="U64" s="2" t="s">
        <v>331</v>
      </c>
    </row>
    <row r="65" customFormat="false" ht="15" hidden="false" customHeight="false" outlineLevel="0" collapsed="false">
      <c r="A65" s="2" t="s">
        <v>332</v>
      </c>
      <c r="B65" s="2" t="s">
        <v>333</v>
      </c>
      <c r="C65" s="2" t="s">
        <v>107</v>
      </c>
      <c r="D65" s="2" t="s">
        <v>39</v>
      </c>
      <c r="E65" s="2" t="s">
        <v>27</v>
      </c>
      <c r="F65" s="2" t="s">
        <v>27</v>
      </c>
      <c r="G65" s="2" t="s">
        <v>27</v>
      </c>
      <c r="H65" s="2" t="s">
        <v>275</v>
      </c>
      <c r="I65" s="2" t="s">
        <v>322</v>
      </c>
      <c r="J65" s="2" t="s">
        <v>323</v>
      </c>
      <c r="K65" s="2"/>
      <c r="L65" s="2" t="s">
        <v>107</v>
      </c>
      <c r="M65" s="2" t="s">
        <v>27</v>
      </c>
      <c r="N65" s="2" t="s">
        <v>27</v>
      </c>
      <c r="O65" s="2" t="s">
        <v>27</v>
      </c>
      <c r="P65" s="2" t="s">
        <v>33</v>
      </c>
      <c r="Q65" s="2" t="s">
        <v>322</v>
      </c>
      <c r="R65" s="2"/>
      <c r="S65" s="2"/>
      <c r="T65" s="2"/>
      <c r="U65" s="2" t="s">
        <v>334</v>
      </c>
    </row>
    <row r="66" customFormat="false" ht="15" hidden="false" customHeight="false" outlineLevel="0" collapsed="false">
      <c r="A66" s="2" t="s">
        <v>183</v>
      </c>
      <c r="B66" s="2" t="s">
        <v>335</v>
      </c>
      <c r="C66" s="2" t="s">
        <v>23</v>
      </c>
      <c r="D66" s="2" t="s">
        <v>336</v>
      </c>
      <c r="E66" s="2" t="s">
        <v>27</v>
      </c>
      <c r="F66" s="2" t="s">
        <v>27</v>
      </c>
      <c r="G66" s="2" t="s">
        <v>27</v>
      </c>
      <c r="H66" s="2" t="s">
        <v>275</v>
      </c>
      <c r="I66" s="2" t="s">
        <v>322</v>
      </c>
      <c r="J66" s="2" t="s">
        <v>323</v>
      </c>
      <c r="K66" s="2" t="s">
        <v>337</v>
      </c>
      <c r="L66" s="2" t="s">
        <v>23</v>
      </c>
      <c r="M66" s="2" t="s">
        <v>27</v>
      </c>
      <c r="N66" s="2" t="s">
        <v>27</v>
      </c>
      <c r="O66" s="2" t="s">
        <v>27</v>
      </c>
      <c r="P66" s="2" t="s">
        <v>33</v>
      </c>
      <c r="Q66" s="2" t="s">
        <v>322</v>
      </c>
      <c r="R66" s="2"/>
      <c r="S66" s="2"/>
      <c r="T66" s="2"/>
      <c r="U66" s="2" t="s">
        <v>338</v>
      </c>
    </row>
    <row r="67" customFormat="false" ht="15" hidden="false" customHeight="false" outlineLevel="0" collapsed="false">
      <c r="A67" s="2" t="s">
        <v>329</v>
      </c>
      <c r="B67" s="2" t="s">
        <v>285</v>
      </c>
      <c r="C67" s="2" t="s">
        <v>91</v>
      </c>
      <c r="D67" s="2" t="s">
        <v>39</v>
      </c>
      <c r="E67" s="2" t="s">
        <v>27</v>
      </c>
      <c r="F67" s="2" t="s">
        <v>27</v>
      </c>
      <c r="G67" s="2" t="s">
        <v>27</v>
      </c>
      <c r="H67" s="2" t="s">
        <v>275</v>
      </c>
      <c r="I67" s="2" t="s">
        <v>322</v>
      </c>
      <c r="J67" s="2" t="s">
        <v>323</v>
      </c>
      <c r="K67" s="2"/>
      <c r="L67" s="2" t="s">
        <v>91</v>
      </c>
      <c r="M67" s="2" t="s">
        <v>27</v>
      </c>
      <c r="N67" s="2" t="s">
        <v>27</v>
      </c>
      <c r="O67" s="2" t="s">
        <v>27</v>
      </c>
      <c r="P67" s="2" t="s">
        <v>33</v>
      </c>
      <c r="Q67" s="2" t="s">
        <v>322</v>
      </c>
      <c r="R67" s="2"/>
      <c r="S67" s="2"/>
      <c r="T67" s="2"/>
      <c r="U67" s="2" t="s">
        <v>339</v>
      </c>
    </row>
    <row r="68" customFormat="false" ht="15" hidden="false" customHeight="false" outlineLevel="0" collapsed="false">
      <c r="A68" s="2" t="s">
        <v>284</v>
      </c>
      <c r="B68" s="2" t="s">
        <v>340</v>
      </c>
      <c r="C68" s="2" t="s">
        <v>341</v>
      </c>
      <c r="D68" s="2" t="s">
        <v>39</v>
      </c>
      <c r="E68" s="2" t="s">
        <v>27</v>
      </c>
      <c r="F68" s="2" t="s">
        <v>27</v>
      </c>
      <c r="G68" s="2" t="s">
        <v>27</v>
      </c>
      <c r="H68" s="2" t="s">
        <v>275</v>
      </c>
      <c r="I68" s="2" t="s">
        <v>322</v>
      </c>
      <c r="J68" s="2" t="s">
        <v>323</v>
      </c>
      <c r="K68" s="2"/>
      <c r="L68" s="2" t="s">
        <v>341</v>
      </c>
      <c r="M68" s="2" t="s">
        <v>27</v>
      </c>
      <c r="N68" s="2" t="s">
        <v>27</v>
      </c>
      <c r="O68" s="2" t="s">
        <v>27</v>
      </c>
      <c r="P68" s="2" t="s">
        <v>33</v>
      </c>
      <c r="Q68" s="2" t="s">
        <v>322</v>
      </c>
      <c r="R68" s="2"/>
      <c r="S68" s="2"/>
      <c r="T68" s="2"/>
      <c r="U68" s="2" t="s">
        <v>342</v>
      </c>
    </row>
    <row r="69" customFormat="false" ht="15" hidden="false" customHeight="false" outlineLevel="0" collapsed="false">
      <c r="A69" s="2" t="s">
        <v>329</v>
      </c>
      <c r="B69" s="2" t="s">
        <v>343</v>
      </c>
      <c r="C69" s="2" t="s">
        <v>344</v>
      </c>
      <c r="D69" s="2" t="s">
        <v>345</v>
      </c>
      <c r="E69" s="2" t="s">
        <v>27</v>
      </c>
      <c r="F69" s="2" t="s">
        <v>27</v>
      </c>
      <c r="G69" s="2" t="s">
        <v>27</v>
      </c>
      <c r="H69" s="2" t="s">
        <v>275</v>
      </c>
      <c r="I69" s="2" t="s">
        <v>322</v>
      </c>
      <c r="J69" s="2" t="s">
        <v>323</v>
      </c>
      <c r="K69" s="2" t="s">
        <v>346</v>
      </c>
      <c r="L69" s="2" t="s">
        <v>344</v>
      </c>
      <c r="M69" s="2" t="s">
        <v>27</v>
      </c>
      <c r="N69" s="2" t="s">
        <v>27</v>
      </c>
      <c r="O69" s="2" t="s">
        <v>27</v>
      </c>
      <c r="P69" s="2" t="s">
        <v>33</v>
      </c>
      <c r="Q69" s="2" t="s">
        <v>322</v>
      </c>
      <c r="R69" s="2"/>
      <c r="S69" s="2"/>
      <c r="T69" s="2"/>
      <c r="U69" s="2" t="s">
        <v>347</v>
      </c>
    </row>
    <row r="70" customFormat="false" ht="15" hidden="false" customHeight="false" outlineLevel="0" collapsed="false">
      <c r="A70" s="2" t="s">
        <v>348</v>
      </c>
      <c r="B70" s="2" t="s">
        <v>349</v>
      </c>
      <c r="C70" s="2" t="s">
        <v>192</v>
      </c>
      <c r="D70" s="2" t="s">
        <v>39</v>
      </c>
      <c r="E70" s="2" t="s">
        <v>27</v>
      </c>
      <c r="F70" s="2" t="s">
        <v>27</v>
      </c>
      <c r="G70" s="2" t="s">
        <v>27</v>
      </c>
      <c r="H70" s="2" t="s">
        <v>275</v>
      </c>
      <c r="I70" s="2" t="s">
        <v>322</v>
      </c>
      <c r="J70" s="2" t="s">
        <v>323</v>
      </c>
      <c r="K70" s="2"/>
      <c r="L70" s="2" t="s">
        <v>38</v>
      </c>
      <c r="M70" s="2" t="s">
        <v>27</v>
      </c>
      <c r="N70" s="2" t="s">
        <v>27</v>
      </c>
      <c r="O70" s="2" t="s">
        <v>27</v>
      </c>
      <c r="P70" s="2" t="s">
        <v>33</v>
      </c>
      <c r="Q70" s="2" t="s">
        <v>322</v>
      </c>
      <c r="R70" s="2"/>
      <c r="S70" s="2"/>
      <c r="T70" s="2"/>
      <c r="U70" s="2" t="s">
        <v>350</v>
      </c>
    </row>
    <row r="71" customFormat="false" ht="15" hidden="false" customHeight="false" outlineLevel="0" collapsed="false">
      <c r="A71" s="2" t="s">
        <v>351</v>
      </c>
      <c r="B71" s="2" t="s">
        <v>352</v>
      </c>
      <c r="C71" s="2" t="s">
        <v>171</v>
      </c>
      <c r="D71" s="2" t="s">
        <v>96</v>
      </c>
      <c r="E71" s="2" t="s">
        <v>353</v>
      </c>
      <c r="F71" s="2" t="s">
        <v>27</v>
      </c>
      <c r="G71" s="2" t="s">
        <v>27</v>
      </c>
      <c r="H71" s="2" t="s">
        <v>275</v>
      </c>
      <c r="I71" s="2" t="s">
        <v>354</v>
      </c>
      <c r="J71" s="2" t="s">
        <v>355</v>
      </c>
      <c r="K71" s="2" t="s">
        <v>356</v>
      </c>
      <c r="L71" s="2" t="s">
        <v>120</v>
      </c>
      <c r="M71" s="2" t="s">
        <v>172</v>
      </c>
      <c r="N71" s="2" t="s">
        <v>124</v>
      </c>
      <c r="O71" s="2" t="s">
        <v>27</v>
      </c>
      <c r="P71" s="2" t="s">
        <v>33</v>
      </c>
      <c r="Q71" s="2" t="s">
        <v>354</v>
      </c>
      <c r="R71" s="2"/>
      <c r="S71" s="2"/>
      <c r="T71" s="2"/>
      <c r="U71" s="2" t="s">
        <v>357</v>
      </c>
    </row>
    <row r="72" customFormat="false" ht="15" hidden="false" customHeight="false" outlineLevel="0" collapsed="false">
      <c r="A72" s="2" t="s">
        <v>358</v>
      </c>
      <c r="B72" s="2" t="s">
        <v>359</v>
      </c>
      <c r="C72" s="2" t="s">
        <v>171</v>
      </c>
      <c r="D72" s="2" t="s">
        <v>39</v>
      </c>
      <c r="E72" s="2" t="s">
        <v>172</v>
      </c>
      <c r="F72" s="2" t="s">
        <v>27</v>
      </c>
      <c r="G72" s="2" t="s">
        <v>27</v>
      </c>
      <c r="H72" s="2" t="s">
        <v>275</v>
      </c>
      <c r="I72" s="2" t="s">
        <v>354</v>
      </c>
      <c r="J72" s="2" t="s">
        <v>355</v>
      </c>
      <c r="K72" s="2" t="s">
        <v>360</v>
      </c>
      <c r="L72" s="2" t="s">
        <v>120</v>
      </c>
      <c r="M72" s="2" t="s">
        <v>172</v>
      </c>
      <c r="N72" s="2" t="s">
        <v>27</v>
      </c>
      <c r="O72" s="2" t="s">
        <v>27</v>
      </c>
      <c r="P72" s="2" t="s">
        <v>33</v>
      </c>
      <c r="Q72" s="2" t="s">
        <v>354</v>
      </c>
      <c r="R72" s="2"/>
      <c r="S72" s="2"/>
      <c r="T72" s="2"/>
      <c r="U72" s="2" t="s">
        <v>361</v>
      </c>
    </row>
    <row r="73" customFormat="false" ht="15" hidden="false" customHeight="false" outlineLevel="0" collapsed="false">
      <c r="A73" s="2" t="s">
        <v>362</v>
      </c>
      <c r="B73" s="2" t="s">
        <v>143</v>
      </c>
      <c r="C73" s="2" t="s">
        <v>363</v>
      </c>
      <c r="D73" s="2" t="s">
        <v>39</v>
      </c>
      <c r="E73" s="2" t="s">
        <v>353</v>
      </c>
      <c r="F73" s="2" t="s">
        <v>27</v>
      </c>
      <c r="G73" s="2" t="s">
        <v>27</v>
      </c>
      <c r="H73" s="2" t="s">
        <v>275</v>
      </c>
      <c r="I73" s="2" t="s">
        <v>354</v>
      </c>
      <c r="J73" s="2" t="s">
        <v>355</v>
      </c>
      <c r="K73" s="2" t="s">
        <v>356</v>
      </c>
      <c r="L73" s="2" t="s">
        <v>38</v>
      </c>
      <c r="M73" s="2" t="s">
        <v>172</v>
      </c>
      <c r="N73" s="2" t="s">
        <v>124</v>
      </c>
      <c r="O73" s="2" t="s">
        <v>27</v>
      </c>
      <c r="P73" s="2" t="s">
        <v>33</v>
      </c>
      <c r="Q73" s="2" t="s">
        <v>354</v>
      </c>
      <c r="R73" s="2"/>
      <c r="S73" s="2"/>
      <c r="T73" s="2"/>
      <c r="U73" s="2" t="s">
        <v>364</v>
      </c>
    </row>
    <row r="74" customFormat="false" ht="15" hidden="false" customHeight="false" outlineLevel="0" collapsed="false">
      <c r="A74" s="2" t="s">
        <v>365</v>
      </c>
      <c r="B74" s="2" t="s">
        <v>366</v>
      </c>
      <c r="C74" s="2" t="s">
        <v>91</v>
      </c>
      <c r="D74" s="2" t="s">
        <v>96</v>
      </c>
      <c r="E74" s="2" t="s">
        <v>27</v>
      </c>
      <c r="F74" s="2" t="s">
        <v>367</v>
      </c>
      <c r="G74" s="2" t="s">
        <v>27</v>
      </c>
      <c r="H74" s="2" t="s">
        <v>275</v>
      </c>
      <c r="I74" s="2" t="s">
        <v>354</v>
      </c>
      <c r="J74" s="2" t="s">
        <v>355</v>
      </c>
      <c r="K74" s="2"/>
      <c r="L74" s="2" t="s">
        <v>91</v>
      </c>
      <c r="M74" s="2" t="s">
        <v>27</v>
      </c>
      <c r="N74" s="2" t="s">
        <v>27</v>
      </c>
      <c r="O74" s="2" t="s">
        <v>52</v>
      </c>
      <c r="P74" s="2" t="s">
        <v>33</v>
      </c>
      <c r="Q74" s="2" t="s">
        <v>354</v>
      </c>
      <c r="R74" s="2"/>
      <c r="S74" s="2"/>
      <c r="T74" s="2"/>
      <c r="U74" s="2" t="s">
        <v>368</v>
      </c>
    </row>
    <row r="75" customFormat="false" ht="15" hidden="false" customHeight="false" outlineLevel="0" collapsed="false">
      <c r="A75" s="2" t="s">
        <v>21</v>
      </c>
      <c r="B75" s="2" t="s">
        <v>369</v>
      </c>
      <c r="C75" s="2" t="s">
        <v>91</v>
      </c>
      <c r="D75" s="2" t="s">
        <v>39</v>
      </c>
      <c r="E75" s="2" t="s">
        <v>27</v>
      </c>
      <c r="F75" s="2" t="s">
        <v>27</v>
      </c>
      <c r="G75" s="2" t="s">
        <v>27</v>
      </c>
      <c r="H75" s="2" t="s">
        <v>108</v>
      </c>
      <c r="I75" s="2" t="s">
        <v>29</v>
      </c>
      <c r="J75" s="2" t="s">
        <v>370</v>
      </c>
      <c r="K75" s="2"/>
      <c r="L75" s="2" t="s">
        <v>91</v>
      </c>
      <c r="M75" s="2" t="s">
        <v>27</v>
      </c>
      <c r="N75" s="2" t="s">
        <v>27</v>
      </c>
      <c r="O75" s="2" t="s">
        <v>27</v>
      </c>
      <c r="P75" s="2" t="s">
        <v>33</v>
      </c>
      <c r="Q75" s="2" t="s">
        <v>34</v>
      </c>
      <c r="R75" s="2"/>
      <c r="S75" s="2"/>
      <c r="T75" s="2"/>
      <c r="U75" s="2" t="s">
        <v>141</v>
      </c>
    </row>
    <row r="76" customFormat="false" ht="15" hidden="false" customHeight="false" outlineLevel="0" collapsed="false">
      <c r="A76" s="2" t="s">
        <v>371</v>
      </c>
      <c r="B76" s="2" t="s">
        <v>292</v>
      </c>
      <c r="C76" s="2" t="s">
        <v>293</v>
      </c>
      <c r="D76" s="2" t="s">
        <v>24</v>
      </c>
      <c r="E76" s="2" t="s">
        <v>27</v>
      </c>
      <c r="F76" s="2" t="s">
        <v>27</v>
      </c>
      <c r="G76" s="2" t="s">
        <v>27</v>
      </c>
      <c r="H76" s="2" t="s">
        <v>108</v>
      </c>
      <c r="I76" s="2" t="s">
        <v>29</v>
      </c>
      <c r="J76" s="2" t="s">
        <v>370</v>
      </c>
      <c r="K76" s="2"/>
      <c r="L76" s="2" t="s">
        <v>91</v>
      </c>
      <c r="M76" s="2" t="s">
        <v>27</v>
      </c>
      <c r="N76" s="2" t="s">
        <v>27</v>
      </c>
      <c r="O76" s="2" t="s">
        <v>27</v>
      </c>
      <c r="P76" s="2" t="s">
        <v>33</v>
      </c>
      <c r="Q76" s="2" t="s">
        <v>34</v>
      </c>
      <c r="R76" s="2"/>
      <c r="S76" s="2"/>
      <c r="T76" s="2"/>
      <c r="U76" s="2" t="s">
        <v>372</v>
      </c>
    </row>
    <row r="77" customFormat="false" ht="15" hidden="false" customHeight="false" outlineLevel="0" collapsed="false">
      <c r="A77" s="2" t="s">
        <v>373</v>
      </c>
      <c r="B77" s="2" t="s">
        <v>374</v>
      </c>
      <c r="C77" s="2" t="s">
        <v>171</v>
      </c>
      <c r="D77" s="2" t="s">
        <v>39</v>
      </c>
      <c r="E77" s="2" t="s">
        <v>172</v>
      </c>
      <c r="F77" s="2" t="s">
        <v>67</v>
      </c>
      <c r="G77" s="2" t="s">
        <v>27</v>
      </c>
      <c r="H77" s="2" t="s">
        <v>108</v>
      </c>
      <c r="I77" s="2" t="s">
        <v>375</v>
      </c>
      <c r="J77" s="2" t="s">
        <v>376</v>
      </c>
      <c r="K77" s="2"/>
      <c r="L77" s="2" t="s">
        <v>120</v>
      </c>
      <c r="M77" s="2" t="s">
        <v>172</v>
      </c>
      <c r="N77" s="2" t="s">
        <v>27</v>
      </c>
      <c r="O77" s="2" t="s">
        <v>52</v>
      </c>
      <c r="P77" s="2" t="s">
        <v>33</v>
      </c>
      <c r="Q77" s="2" t="s">
        <v>377</v>
      </c>
      <c r="R77" s="2"/>
      <c r="S77" s="2"/>
      <c r="T77" s="2"/>
      <c r="U77" s="2" t="s">
        <v>378</v>
      </c>
    </row>
    <row r="78" customFormat="false" ht="15" hidden="false" customHeight="false" outlineLevel="0" collapsed="false">
      <c r="A78" s="2" t="s">
        <v>162</v>
      </c>
      <c r="B78" s="2" t="s">
        <v>379</v>
      </c>
      <c r="C78" s="2" t="s">
        <v>131</v>
      </c>
      <c r="D78" s="2" t="s">
        <v>380</v>
      </c>
      <c r="E78" s="2" t="s">
        <v>27</v>
      </c>
      <c r="F78" s="2" t="s">
        <v>27</v>
      </c>
      <c r="G78" s="2" t="s">
        <v>27</v>
      </c>
      <c r="H78" s="2" t="s">
        <v>108</v>
      </c>
      <c r="I78" s="2" t="s">
        <v>375</v>
      </c>
      <c r="J78" s="2" t="s">
        <v>376</v>
      </c>
      <c r="K78" s="2"/>
      <c r="L78" s="2" t="s">
        <v>120</v>
      </c>
      <c r="M78" s="2" t="s">
        <v>27</v>
      </c>
      <c r="N78" s="2" t="s">
        <v>27</v>
      </c>
      <c r="O78" s="2" t="s">
        <v>27</v>
      </c>
      <c r="P78" s="2" t="s">
        <v>33</v>
      </c>
      <c r="Q78" s="2" t="s">
        <v>377</v>
      </c>
      <c r="R78" s="2"/>
      <c r="S78" s="2"/>
      <c r="T78" s="2"/>
      <c r="U78" s="2" t="s">
        <v>381</v>
      </c>
    </row>
    <row r="79" customFormat="false" ht="15" hidden="false" customHeight="false" outlineLevel="0" collapsed="false">
      <c r="A79" s="2" t="s">
        <v>21</v>
      </c>
      <c r="B79" s="2" t="s">
        <v>382</v>
      </c>
      <c r="C79" s="2" t="s">
        <v>131</v>
      </c>
      <c r="D79" s="2" t="s">
        <v>327</v>
      </c>
      <c r="E79" s="2" t="s">
        <v>27</v>
      </c>
      <c r="F79" s="2" t="s">
        <v>27</v>
      </c>
      <c r="G79" s="2" t="s">
        <v>27</v>
      </c>
      <c r="H79" s="2" t="s">
        <v>108</v>
      </c>
      <c r="I79" s="2" t="s">
        <v>375</v>
      </c>
      <c r="J79" s="2" t="s">
        <v>376</v>
      </c>
      <c r="K79" s="2" t="s">
        <v>383</v>
      </c>
      <c r="L79" s="2" t="s">
        <v>120</v>
      </c>
      <c r="M79" s="2" t="s">
        <v>27</v>
      </c>
      <c r="N79" s="2" t="s">
        <v>27</v>
      </c>
      <c r="O79" s="2" t="s">
        <v>27</v>
      </c>
      <c r="P79" s="2" t="s">
        <v>33</v>
      </c>
      <c r="Q79" s="2" t="s">
        <v>377</v>
      </c>
      <c r="R79" s="2"/>
      <c r="S79" s="2"/>
      <c r="T79" s="2"/>
      <c r="U79" s="2" t="s">
        <v>384</v>
      </c>
    </row>
    <row r="80" customFormat="false" ht="15" hidden="false" customHeight="false" outlineLevel="0" collapsed="false">
      <c r="A80" s="2" t="s">
        <v>385</v>
      </c>
      <c r="B80" s="2" t="s">
        <v>386</v>
      </c>
      <c r="C80" s="2" t="s">
        <v>38</v>
      </c>
      <c r="D80" s="2" t="s">
        <v>39</v>
      </c>
      <c r="E80" s="2" t="s">
        <v>27</v>
      </c>
      <c r="F80" s="2" t="s">
        <v>387</v>
      </c>
      <c r="G80" s="2" t="s">
        <v>27</v>
      </c>
      <c r="H80" s="2" t="s">
        <v>275</v>
      </c>
      <c r="I80" s="2" t="s">
        <v>388</v>
      </c>
      <c r="J80" s="2" t="s">
        <v>389</v>
      </c>
      <c r="K80" s="2"/>
      <c r="L80" s="2" t="s">
        <v>38</v>
      </c>
      <c r="M80" s="2" t="s">
        <v>27</v>
      </c>
      <c r="N80" s="2" t="s">
        <v>27</v>
      </c>
      <c r="O80" s="2" t="s">
        <v>43</v>
      </c>
      <c r="P80" s="2" t="s">
        <v>33</v>
      </c>
      <c r="Q80" s="2" t="s">
        <v>388</v>
      </c>
      <c r="R80" s="2"/>
      <c r="S80" s="2"/>
      <c r="T80" s="2"/>
      <c r="U80" s="2" t="s">
        <v>390</v>
      </c>
    </row>
    <row r="81" customFormat="false" ht="15" hidden="false" customHeight="false" outlineLevel="0" collapsed="false">
      <c r="A81" s="2" t="s">
        <v>391</v>
      </c>
      <c r="B81" s="2" t="s">
        <v>246</v>
      </c>
      <c r="C81" s="2" t="s">
        <v>344</v>
      </c>
      <c r="D81" s="2" t="s">
        <v>39</v>
      </c>
      <c r="E81" s="2" t="s">
        <v>27</v>
      </c>
      <c r="F81" s="2" t="s">
        <v>27</v>
      </c>
      <c r="G81" s="2" t="s">
        <v>27</v>
      </c>
      <c r="H81" s="2" t="s">
        <v>275</v>
      </c>
      <c r="I81" s="2" t="s">
        <v>388</v>
      </c>
      <c r="J81" s="2" t="s">
        <v>389</v>
      </c>
      <c r="K81" s="2" t="s">
        <v>392</v>
      </c>
      <c r="L81" s="2" t="s">
        <v>344</v>
      </c>
      <c r="M81" s="2" t="s">
        <v>27</v>
      </c>
      <c r="N81" s="2" t="s">
        <v>27</v>
      </c>
      <c r="O81" s="2" t="s">
        <v>27</v>
      </c>
      <c r="P81" s="2" t="s">
        <v>33</v>
      </c>
      <c r="Q81" s="2" t="s">
        <v>388</v>
      </c>
      <c r="R81" s="2"/>
      <c r="S81" s="2"/>
      <c r="T81" s="2"/>
      <c r="U81" s="2" t="s">
        <v>393</v>
      </c>
    </row>
    <row r="82" customFormat="false" ht="15" hidden="false" customHeight="false" outlineLevel="0" collapsed="false">
      <c r="A82" s="2" t="s">
        <v>394</v>
      </c>
      <c r="B82" s="2" t="s">
        <v>395</v>
      </c>
      <c r="C82" s="2" t="s">
        <v>23</v>
      </c>
      <c r="D82" s="2" t="s">
        <v>39</v>
      </c>
      <c r="E82" s="2" t="s">
        <v>27</v>
      </c>
      <c r="F82" s="2" t="s">
        <v>27</v>
      </c>
      <c r="G82" s="2" t="s">
        <v>27</v>
      </c>
      <c r="H82" s="2" t="s">
        <v>275</v>
      </c>
      <c r="I82" s="2" t="s">
        <v>388</v>
      </c>
      <c r="J82" s="2" t="s">
        <v>389</v>
      </c>
      <c r="K82" s="2"/>
      <c r="L82" s="2" t="s">
        <v>23</v>
      </c>
      <c r="M82" s="2" t="s">
        <v>27</v>
      </c>
      <c r="N82" s="2" t="s">
        <v>27</v>
      </c>
      <c r="O82" s="2" t="s">
        <v>27</v>
      </c>
      <c r="P82" s="2" t="s">
        <v>33</v>
      </c>
      <c r="Q82" s="2" t="s">
        <v>388</v>
      </c>
      <c r="R82" s="2"/>
      <c r="S82" s="2"/>
      <c r="T82" s="2"/>
      <c r="U82" s="2" t="s">
        <v>396</v>
      </c>
    </row>
    <row r="83" customFormat="false" ht="15" hidden="false" customHeight="false" outlineLevel="0" collapsed="false">
      <c r="A83" s="2" t="s">
        <v>397</v>
      </c>
      <c r="B83" s="2" t="s">
        <v>398</v>
      </c>
      <c r="C83" s="2" t="s">
        <v>38</v>
      </c>
      <c r="D83" s="2" t="s">
        <v>39</v>
      </c>
      <c r="E83" s="2" t="s">
        <v>27</v>
      </c>
      <c r="F83" s="2" t="s">
        <v>32</v>
      </c>
      <c r="G83" s="2" t="s">
        <v>27</v>
      </c>
      <c r="H83" s="2" t="s">
        <v>275</v>
      </c>
      <c r="I83" s="2" t="s">
        <v>388</v>
      </c>
      <c r="J83" s="2" t="s">
        <v>389</v>
      </c>
      <c r="K83" s="2" t="s">
        <v>399</v>
      </c>
      <c r="L83" s="2" t="s">
        <v>38</v>
      </c>
      <c r="M83" s="2" t="s">
        <v>27</v>
      </c>
      <c r="N83" s="2" t="s">
        <v>27</v>
      </c>
      <c r="O83" s="2" t="s">
        <v>32</v>
      </c>
      <c r="P83" s="2" t="s">
        <v>33</v>
      </c>
      <c r="Q83" s="2" t="s">
        <v>388</v>
      </c>
      <c r="R83" s="2"/>
      <c r="S83" s="2"/>
      <c r="T83" s="2"/>
      <c r="U83" s="2" t="s">
        <v>400</v>
      </c>
    </row>
    <row r="84" customFormat="false" ht="15" hidden="false" customHeight="false" outlineLevel="0" collapsed="false">
      <c r="A84" s="2" t="s">
        <v>401</v>
      </c>
      <c r="B84" s="2" t="s">
        <v>402</v>
      </c>
      <c r="C84" s="2" t="s">
        <v>107</v>
      </c>
      <c r="D84" s="2" t="s">
        <v>39</v>
      </c>
      <c r="E84" s="2" t="s">
        <v>27</v>
      </c>
      <c r="F84" s="2" t="s">
        <v>27</v>
      </c>
      <c r="G84" s="2" t="s">
        <v>27</v>
      </c>
      <c r="H84" s="2" t="s">
        <v>275</v>
      </c>
      <c r="I84" s="2" t="s">
        <v>403</v>
      </c>
      <c r="J84" s="2" t="s">
        <v>404</v>
      </c>
      <c r="K84" s="2"/>
      <c r="L84" s="2" t="s">
        <v>107</v>
      </c>
      <c r="M84" s="2" t="s">
        <v>27</v>
      </c>
      <c r="N84" s="2" t="s">
        <v>27</v>
      </c>
      <c r="O84" s="2" t="s">
        <v>27</v>
      </c>
      <c r="P84" s="2" t="s">
        <v>33</v>
      </c>
      <c r="Q84" s="2" t="s">
        <v>403</v>
      </c>
      <c r="R84" s="2"/>
      <c r="S84" s="2"/>
      <c r="T84" s="2"/>
      <c r="U84" s="2" t="s">
        <v>405</v>
      </c>
    </row>
    <row r="85" customFormat="false" ht="15" hidden="false" customHeight="false" outlineLevel="0" collapsed="false">
      <c r="A85" s="2" t="s">
        <v>156</v>
      </c>
      <c r="B85" s="2" t="s">
        <v>406</v>
      </c>
      <c r="C85" s="2" t="s">
        <v>107</v>
      </c>
      <c r="D85" s="2" t="s">
        <v>39</v>
      </c>
      <c r="E85" s="2" t="s">
        <v>27</v>
      </c>
      <c r="F85" s="2" t="s">
        <v>27</v>
      </c>
      <c r="G85" s="2" t="s">
        <v>27</v>
      </c>
      <c r="H85" s="2" t="s">
        <v>275</v>
      </c>
      <c r="I85" s="2" t="s">
        <v>403</v>
      </c>
      <c r="J85" s="2" t="s">
        <v>404</v>
      </c>
      <c r="K85" s="2"/>
      <c r="L85" s="2" t="s">
        <v>107</v>
      </c>
      <c r="M85" s="2" t="s">
        <v>27</v>
      </c>
      <c r="N85" s="2" t="s">
        <v>27</v>
      </c>
      <c r="O85" s="2" t="s">
        <v>27</v>
      </c>
      <c r="P85" s="2" t="s">
        <v>33</v>
      </c>
      <c r="Q85" s="2" t="s">
        <v>403</v>
      </c>
      <c r="R85" s="2"/>
      <c r="S85" s="2"/>
      <c r="T85" s="2"/>
      <c r="U85" s="2" t="s">
        <v>407</v>
      </c>
    </row>
    <row r="86" customFormat="false" ht="15" hidden="false" customHeight="false" outlineLevel="0" collapsed="false">
      <c r="A86" s="2" t="s">
        <v>156</v>
      </c>
      <c r="B86" s="2" t="s">
        <v>408</v>
      </c>
      <c r="C86" s="2" t="s">
        <v>107</v>
      </c>
      <c r="D86" s="2" t="s">
        <v>409</v>
      </c>
      <c r="E86" s="2" t="s">
        <v>27</v>
      </c>
      <c r="F86" s="2" t="s">
        <v>27</v>
      </c>
      <c r="G86" s="2" t="s">
        <v>27</v>
      </c>
      <c r="H86" s="2" t="s">
        <v>275</v>
      </c>
      <c r="I86" s="2" t="s">
        <v>403</v>
      </c>
      <c r="J86" s="2" t="s">
        <v>404</v>
      </c>
      <c r="K86" s="2"/>
      <c r="L86" s="2" t="s">
        <v>107</v>
      </c>
      <c r="M86" s="2" t="s">
        <v>27</v>
      </c>
      <c r="N86" s="2" t="s">
        <v>27</v>
      </c>
      <c r="O86" s="2" t="s">
        <v>27</v>
      </c>
      <c r="P86" s="2" t="s">
        <v>33</v>
      </c>
      <c r="Q86" s="2" t="s">
        <v>403</v>
      </c>
      <c r="R86" s="2"/>
      <c r="S86" s="2"/>
      <c r="T86" s="2"/>
      <c r="U86" s="2" t="s">
        <v>410</v>
      </c>
    </row>
    <row r="87" customFormat="false" ht="15" hidden="false" customHeight="false" outlineLevel="0" collapsed="false">
      <c r="A87" s="2" t="s">
        <v>156</v>
      </c>
      <c r="B87" s="2" t="s">
        <v>411</v>
      </c>
      <c r="C87" s="2" t="s">
        <v>107</v>
      </c>
      <c r="D87" s="2" t="s">
        <v>39</v>
      </c>
      <c r="E87" s="2" t="s">
        <v>27</v>
      </c>
      <c r="F87" s="2" t="s">
        <v>27</v>
      </c>
      <c r="G87" s="2" t="s">
        <v>27</v>
      </c>
      <c r="H87" s="2" t="s">
        <v>275</v>
      </c>
      <c r="I87" s="2" t="s">
        <v>403</v>
      </c>
      <c r="J87" s="2" t="s">
        <v>404</v>
      </c>
      <c r="K87" s="2" t="s">
        <v>412</v>
      </c>
      <c r="L87" s="2" t="s">
        <v>107</v>
      </c>
      <c r="M87" s="2" t="s">
        <v>27</v>
      </c>
      <c r="N87" s="2" t="s">
        <v>27</v>
      </c>
      <c r="O87" s="2" t="s">
        <v>27</v>
      </c>
      <c r="P87" s="2" t="s">
        <v>33</v>
      </c>
      <c r="Q87" s="2" t="s">
        <v>403</v>
      </c>
      <c r="R87" s="2"/>
      <c r="S87" s="2"/>
      <c r="T87" s="2"/>
      <c r="U87" s="2" t="s">
        <v>413</v>
      </c>
    </row>
    <row r="88" customFormat="false" ht="15" hidden="false" customHeight="false" outlineLevel="0" collapsed="false">
      <c r="A88" s="2" t="s">
        <v>397</v>
      </c>
      <c r="B88" s="2" t="s">
        <v>414</v>
      </c>
      <c r="C88" s="2" t="s">
        <v>23</v>
      </c>
      <c r="D88" s="2" t="s">
        <v>415</v>
      </c>
      <c r="E88" s="2" t="s">
        <v>27</v>
      </c>
      <c r="F88" s="2" t="s">
        <v>32</v>
      </c>
      <c r="G88" s="2" t="s">
        <v>27</v>
      </c>
      <c r="H88" s="2" t="s">
        <v>275</v>
      </c>
      <c r="I88" s="2" t="s">
        <v>403</v>
      </c>
      <c r="J88" s="2" t="s">
        <v>404</v>
      </c>
      <c r="K88" s="2" t="s">
        <v>416</v>
      </c>
      <c r="L88" s="2" t="s">
        <v>23</v>
      </c>
      <c r="M88" s="2" t="s">
        <v>27</v>
      </c>
      <c r="N88" s="2" t="s">
        <v>27</v>
      </c>
      <c r="O88" s="2" t="s">
        <v>32</v>
      </c>
      <c r="P88" s="2" t="s">
        <v>33</v>
      </c>
      <c r="Q88" s="2" t="s">
        <v>403</v>
      </c>
      <c r="R88" s="2"/>
      <c r="S88" s="2"/>
      <c r="T88" s="2"/>
      <c r="U88" s="2" t="s">
        <v>417</v>
      </c>
    </row>
    <row r="89" customFormat="false" ht="15" hidden="false" customHeight="false" outlineLevel="0" collapsed="false">
      <c r="A89" s="2" t="s">
        <v>156</v>
      </c>
      <c r="B89" s="2" t="s">
        <v>418</v>
      </c>
      <c r="C89" s="2" t="s">
        <v>107</v>
      </c>
      <c r="D89" s="2" t="s">
        <v>419</v>
      </c>
      <c r="E89" s="2" t="s">
        <v>27</v>
      </c>
      <c r="F89" s="2" t="s">
        <v>27</v>
      </c>
      <c r="G89" s="2" t="s">
        <v>27</v>
      </c>
      <c r="H89" s="2" t="s">
        <v>275</v>
      </c>
      <c r="I89" s="2" t="s">
        <v>403</v>
      </c>
      <c r="J89" s="2" t="s">
        <v>404</v>
      </c>
      <c r="K89" s="2"/>
      <c r="L89" s="2" t="s">
        <v>107</v>
      </c>
      <c r="M89" s="2" t="s">
        <v>27</v>
      </c>
      <c r="N89" s="2" t="s">
        <v>27</v>
      </c>
      <c r="O89" s="2" t="s">
        <v>27</v>
      </c>
      <c r="P89" s="2" t="s">
        <v>33</v>
      </c>
      <c r="Q89" s="2" t="s">
        <v>403</v>
      </c>
      <c r="R89" s="2"/>
      <c r="S89" s="2"/>
      <c r="T89" s="2"/>
      <c r="U89" s="2" t="s">
        <v>420</v>
      </c>
    </row>
    <row r="90" customFormat="false" ht="15" hidden="false" customHeight="false" outlineLevel="0" collapsed="false">
      <c r="A90" s="2" t="s">
        <v>421</v>
      </c>
      <c r="B90" s="2" t="s">
        <v>402</v>
      </c>
      <c r="C90" s="2" t="s">
        <v>107</v>
      </c>
      <c r="D90" s="2" t="s">
        <v>39</v>
      </c>
      <c r="E90" s="2" t="s">
        <v>27</v>
      </c>
      <c r="F90" s="2" t="s">
        <v>422</v>
      </c>
      <c r="G90" s="2" t="s">
        <v>27</v>
      </c>
      <c r="H90" s="2" t="s">
        <v>275</v>
      </c>
      <c r="I90" s="2" t="s">
        <v>403</v>
      </c>
      <c r="J90" s="2" t="s">
        <v>404</v>
      </c>
      <c r="K90" s="2" t="s">
        <v>423</v>
      </c>
      <c r="L90" s="2" t="s">
        <v>107</v>
      </c>
      <c r="M90" s="2" t="s">
        <v>27</v>
      </c>
      <c r="N90" s="2" t="s">
        <v>27</v>
      </c>
      <c r="O90" s="2" t="s">
        <v>32</v>
      </c>
      <c r="P90" s="2" t="s">
        <v>33</v>
      </c>
      <c r="Q90" s="2" t="s">
        <v>403</v>
      </c>
      <c r="R90" s="2"/>
      <c r="S90" s="2"/>
      <c r="T90" s="2"/>
      <c r="U90" s="2" t="s">
        <v>424</v>
      </c>
    </row>
    <row r="91" customFormat="false" ht="15" hidden="false" customHeight="false" outlineLevel="0" collapsed="false">
      <c r="A91" s="2" t="s">
        <v>156</v>
      </c>
      <c r="B91" s="2" t="s">
        <v>425</v>
      </c>
      <c r="C91" s="2" t="s">
        <v>131</v>
      </c>
      <c r="D91" s="2" t="s">
        <v>426</v>
      </c>
      <c r="E91" s="2" t="s">
        <v>27</v>
      </c>
      <c r="F91" s="2" t="s">
        <v>27</v>
      </c>
      <c r="G91" s="2" t="s">
        <v>27</v>
      </c>
      <c r="H91" s="2" t="s">
        <v>108</v>
      </c>
      <c r="I91" s="2" t="s">
        <v>427</v>
      </c>
      <c r="J91" s="2" t="s">
        <v>428</v>
      </c>
      <c r="K91" s="2" t="s">
        <v>429</v>
      </c>
      <c r="L91" s="2" t="s">
        <v>120</v>
      </c>
      <c r="M91" s="2" t="s">
        <v>27</v>
      </c>
      <c r="N91" s="2" t="s">
        <v>27</v>
      </c>
      <c r="O91" s="2" t="s">
        <v>27</v>
      </c>
      <c r="P91" s="2" t="s">
        <v>33</v>
      </c>
      <c r="Q91" s="2" t="s">
        <v>430</v>
      </c>
      <c r="R91" s="2"/>
      <c r="S91" s="2"/>
      <c r="T91" s="2"/>
      <c r="U91" s="2" t="s">
        <v>431</v>
      </c>
    </row>
    <row r="92" customFormat="false" ht="15" hidden="false" customHeight="false" outlineLevel="0" collapsed="false">
      <c r="A92" s="2" t="s">
        <v>156</v>
      </c>
      <c r="B92" s="2" t="s">
        <v>432</v>
      </c>
      <c r="C92" s="2" t="s">
        <v>131</v>
      </c>
      <c r="D92" s="2" t="s">
        <v>433</v>
      </c>
      <c r="E92" s="2" t="s">
        <v>27</v>
      </c>
      <c r="F92" s="2" t="s">
        <v>27</v>
      </c>
      <c r="G92" s="2" t="s">
        <v>27</v>
      </c>
      <c r="H92" s="2" t="s">
        <v>108</v>
      </c>
      <c r="I92" s="2" t="s">
        <v>427</v>
      </c>
      <c r="J92" s="2" t="s">
        <v>428</v>
      </c>
      <c r="K92" s="2"/>
      <c r="L92" s="2" t="s">
        <v>120</v>
      </c>
      <c r="M92" s="2" t="s">
        <v>27</v>
      </c>
      <c r="N92" s="2" t="s">
        <v>27</v>
      </c>
      <c r="O92" s="2" t="s">
        <v>27</v>
      </c>
      <c r="P92" s="2" t="s">
        <v>33</v>
      </c>
      <c r="Q92" s="2" t="s">
        <v>430</v>
      </c>
      <c r="R92" s="2"/>
      <c r="S92" s="2"/>
      <c r="T92" s="2"/>
      <c r="U92" s="2" t="s">
        <v>434</v>
      </c>
    </row>
    <row r="93" customFormat="false" ht="15" hidden="false" customHeight="false" outlineLevel="0" collapsed="false">
      <c r="A93" s="2" t="s">
        <v>156</v>
      </c>
      <c r="B93" s="2" t="s">
        <v>343</v>
      </c>
      <c r="C93" s="2" t="s">
        <v>131</v>
      </c>
      <c r="D93" s="2" t="s">
        <v>345</v>
      </c>
      <c r="E93" s="2" t="s">
        <v>27</v>
      </c>
      <c r="F93" s="2" t="s">
        <v>27</v>
      </c>
      <c r="G93" s="2" t="s">
        <v>27</v>
      </c>
      <c r="H93" s="2" t="s">
        <v>108</v>
      </c>
      <c r="I93" s="2" t="s">
        <v>427</v>
      </c>
      <c r="J93" s="2" t="s">
        <v>428</v>
      </c>
      <c r="K93" s="2"/>
      <c r="L93" s="2" t="s">
        <v>120</v>
      </c>
      <c r="M93" s="2" t="s">
        <v>27</v>
      </c>
      <c r="N93" s="2" t="s">
        <v>27</v>
      </c>
      <c r="O93" s="2" t="s">
        <v>27</v>
      </c>
      <c r="P93" s="2" t="s">
        <v>33</v>
      </c>
      <c r="Q93" s="2" t="s">
        <v>430</v>
      </c>
      <c r="R93" s="2"/>
      <c r="S93" s="2"/>
      <c r="T93" s="2"/>
      <c r="U93" s="2" t="s">
        <v>435</v>
      </c>
    </row>
    <row r="94" customFormat="false" ht="15" hidden="false" customHeight="false" outlineLevel="0" collapsed="false">
      <c r="A94" s="2" t="s">
        <v>156</v>
      </c>
      <c r="B94" s="2" t="s">
        <v>436</v>
      </c>
      <c r="C94" s="2" t="s">
        <v>131</v>
      </c>
      <c r="D94" s="2" t="s">
        <v>39</v>
      </c>
      <c r="E94" s="2" t="s">
        <v>27</v>
      </c>
      <c r="F94" s="2" t="s">
        <v>27</v>
      </c>
      <c r="G94" s="2" t="s">
        <v>27</v>
      </c>
      <c r="H94" s="2" t="s">
        <v>108</v>
      </c>
      <c r="I94" s="2" t="s">
        <v>427</v>
      </c>
      <c r="J94" s="2" t="s">
        <v>428</v>
      </c>
      <c r="K94" s="2"/>
      <c r="L94" s="2" t="s">
        <v>120</v>
      </c>
      <c r="M94" s="2" t="s">
        <v>27</v>
      </c>
      <c r="N94" s="2" t="s">
        <v>27</v>
      </c>
      <c r="O94" s="2" t="s">
        <v>27</v>
      </c>
      <c r="P94" s="2" t="s">
        <v>33</v>
      </c>
      <c r="Q94" s="2" t="s">
        <v>430</v>
      </c>
      <c r="R94" s="2"/>
      <c r="S94" s="2"/>
      <c r="T94" s="2"/>
      <c r="U94" s="2" t="s">
        <v>407</v>
      </c>
    </row>
    <row r="95" customFormat="false" ht="15" hidden="false" customHeight="false" outlineLevel="0" collapsed="false">
      <c r="A95" s="2" t="s">
        <v>156</v>
      </c>
      <c r="B95" s="2" t="s">
        <v>113</v>
      </c>
      <c r="C95" s="2" t="s">
        <v>131</v>
      </c>
      <c r="D95" s="2" t="s">
        <v>39</v>
      </c>
      <c r="E95" s="2" t="s">
        <v>27</v>
      </c>
      <c r="F95" s="2" t="s">
        <v>27</v>
      </c>
      <c r="G95" s="2" t="s">
        <v>27</v>
      </c>
      <c r="H95" s="2" t="s">
        <v>108</v>
      </c>
      <c r="I95" s="2" t="s">
        <v>427</v>
      </c>
      <c r="J95" s="2" t="s">
        <v>428</v>
      </c>
      <c r="K95" s="2"/>
      <c r="L95" s="2" t="s">
        <v>120</v>
      </c>
      <c r="M95" s="2" t="s">
        <v>27</v>
      </c>
      <c r="N95" s="2" t="s">
        <v>27</v>
      </c>
      <c r="O95" s="2" t="s">
        <v>27</v>
      </c>
      <c r="P95" s="2" t="s">
        <v>33</v>
      </c>
      <c r="Q95" s="2" t="s">
        <v>430</v>
      </c>
      <c r="R95" s="2"/>
      <c r="S95" s="2"/>
      <c r="T95" s="2"/>
      <c r="U95" s="2" t="s">
        <v>407</v>
      </c>
    </row>
    <row r="96" customFormat="false" ht="15" hidden="false" customHeight="false" outlineLevel="0" collapsed="false">
      <c r="A96" s="2" t="s">
        <v>156</v>
      </c>
      <c r="B96" s="2" t="s">
        <v>437</v>
      </c>
      <c r="C96" s="2" t="s">
        <v>131</v>
      </c>
      <c r="D96" s="2" t="s">
        <v>39</v>
      </c>
      <c r="E96" s="2" t="s">
        <v>27</v>
      </c>
      <c r="F96" s="2" t="s">
        <v>27</v>
      </c>
      <c r="G96" s="2" t="s">
        <v>27</v>
      </c>
      <c r="H96" s="2" t="s">
        <v>108</v>
      </c>
      <c r="I96" s="2" t="s">
        <v>427</v>
      </c>
      <c r="J96" s="2" t="s">
        <v>428</v>
      </c>
      <c r="K96" s="2"/>
      <c r="L96" s="2" t="s">
        <v>120</v>
      </c>
      <c r="M96" s="2" t="s">
        <v>27</v>
      </c>
      <c r="N96" s="2" t="s">
        <v>27</v>
      </c>
      <c r="O96" s="2" t="s">
        <v>27</v>
      </c>
      <c r="P96" s="2" t="s">
        <v>33</v>
      </c>
      <c r="Q96" s="2" t="s">
        <v>430</v>
      </c>
      <c r="R96" s="2"/>
      <c r="S96" s="2"/>
      <c r="T96" s="2"/>
      <c r="U96" s="2" t="s">
        <v>407</v>
      </c>
    </row>
    <row r="97" customFormat="false" ht="15" hidden="false" customHeight="false" outlineLevel="0" collapsed="false">
      <c r="A97" s="2" t="s">
        <v>156</v>
      </c>
      <c r="B97" s="2" t="s">
        <v>438</v>
      </c>
      <c r="C97" s="2" t="s">
        <v>131</v>
      </c>
      <c r="D97" s="2" t="s">
        <v>96</v>
      </c>
      <c r="E97" s="2" t="s">
        <v>27</v>
      </c>
      <c r="F97" s="2" t="s">
        <v>27</v>
      </c>
      <c r="G97" s="2" t="s">
        <v>27</v>
      </c>
      <c r="H97" s="2" t="s">
        <v>108</v>
      </c>
      <c r="I97" s="2" t="s">
        <v>427</v>
      </c>
      <c r="J97" s="2" t="s">
        <v>428</v>
      </c>
      <c r="K97" s="2"/>
      <c r="L97" s="2" t="s">
        <v>120</v>
      </c>
      <c r="M97" s="2" t="s">
        <v>27</v>
      </c>
      <c r="N97" s="2" t="s">
        <v>27</v>
      </c>
      <c r="O97" s="2" t="s">
        <v>27</v>
      </c>
      <c r="P97" s="2" t="s">
        <v>33</v>
      </c>
      <c r="Q97" s="2" t="s">
        <v>430</v>
      </c>
      <c r="R97" s="2"/>
      <c r="S97" s="2"/>
      <c r="T97" s="2"/>
      <c r="U97" s="2" t="s">
        <v>439</v>
      </c>
    </row>
    <row r="98" customFormat="false" ht="15" hidden="false" customHeight="false" outlineLevel="0" collapsed="false">
      <c r="A98" s="2" t="s">
        <v>156</v>
      </c>
      <c r="B98" s="2" t="s">
        <v>440</v>
      </c>
      <c r="C98" s="2" t="s">
        <v>131</v>
      </c>
      <c r="D98" s="2" t="s">
        <v>39</v>
      </c>
      <c r="E98" s="2" t="s">
        <v>27</v>
      </c>
      <c r="F98" s="2" t="s">
        <v>27</v>
      </c>
      <c r="G98" s="2" t="s">
        <v>27</v>
      </c>
      <c r="H98" s="2" t="s">
        <v>108</v>
      </c>
      <c r="I98" s="2" t="s">
        <v>427</v>
      </c>
      <c r="J98" s="2" t="s">
        <v>428</v>
      </c>
      <c r="K98" s="2"/>
      <c r="L98" s="2" t="s">
        <v>120</v>
      </c>
      <c r="M98" s="2" t="s">
        <v>27</v>
      </c>
      <c r="N98" s="2" t="s">
        <v>27</v>
      </c>
      <c r="O98" s="2" t="s">
        <v>27</v>
      </c>
      <c r="P98" s="2" t="s">
        <v>33</v>
      </c>
      <c r="Q98" s="2" t="s">
        <v>430</v>
      </c>
      <c r="R98" s="2"/>
      <c r="S98" s="2"/>
      <c r="T98" s="2"/>
      <c r="U98" s="2" t="s">
        <v>407</v>
      </c>
    </row>
    <row r="99" customFormat="false" ht="15" hidden="false" customHeight="false" outlineLevel="0" collapsed="false">
      <c r="A99" s="2" t="s">
        <v>394</v>
      </c>
      <c r="B99" s="2" t="s">
        <v>441</v>
      </c>
      <c r="C99" s="2" t="s">
        <v>38</v>
      </c>
      <c r="D99" s="2" t="s">
        <v>442</v>
      </c>
      <c r="E99" s="2" t="s">
        <v>27</v>
      </c>
      <c r="F99" s="2" t="s">
        <v>443</v>
      </c>
      <c r="G99" s="2" t="s">
        <v>27</v>
      </c>
      <c r="H99" s="2" t="s">
        <v>222</v>
      </c>
      <c r="I99" s="2" t="s">
        <v>444</v>
      </c>
      <c r="J99" s="2" t="s">
        <v>445</v>
      </c>
      <c r="K99" s="2" t="s">
        <v>446</v>
      </c>
      <c r="L99" s="2" t="s">
        <v>38</v>
      </c>
      <c r="M99" s="2" t="s">
        <v>27</v>
      </c>
      <c r="N99" s="2" t="s">
        <v>27</v>
      </c>
      <c r="O99" s="2" t="s">
        <v>52</v>
      </c>
      <c r="P99" s="2" t="s">
        <v>33</v>
      </c>
      <c r="Q99" s="2" t="s">
        <v>444</v>
      </c>
      <c r="R99" s="2"/>
      <c r="S99" s="2"/>
      <c r="T99" s="2"/>
      <c r="U99" s="2" t="s">
        <v>447</v>
      </c>
    </row>
    <row r="100" customFormat="false" ht="15" hidden="false" customHeight="false" outlineLevel="0" collapsed="false">
      <c r="A100" s="2" t="s">
        <v>448</v>
      </c>
      <c r="B100" s="2" t="s">
        <v>449</v>
      </c>
      <c r="C100" s="2" t="s">
        <v>171</v>
      </c>
      <c r="D100" s="2" t="s">
        <v>39</v>
      </c>
      <c r="E100" s="2" t="s">
        <v>225</v>
      </c>
      <c r="F100" s="2" t="s">
        <v>27</v>
      </c>
      <c r="G100" s="2" t="s">
        <v>450</v>
      </c>
      <c r="H100" s="2" t="s">
        <v>222</v>
      </c>
      <c r="I100" s="2" t="s">
        <v>444</v>
      </c>
      <c r="J100" s="2" t="s">
        <v>445</v>
      </c>
      <c r="K100" s="2" t="s">
        <v>451</v>
      </c>
      <c r="L100" s="2" t="s">
        <v>120</v>
      </c>
      <c r="M100" s="2" t="s">
        <v>27</v>
      </c>
      <c r="N100" s="2" t="s">
        <v>225</v>
      </c>
      <c r="O100" s="2" t="s">
        <v>27</v>
      </c>
      <c r="P100" s="2" t="s">
        <v>53</v>
      </c>
      <c r="Q100" s="2" t="s">
        <v>444</v>
      </c>
      <c r="R100" s="2"/>
      <c r="S100" s="2"/>
      <c r="T100" s="2" t="s">
        <v>452</v>
      </c>
      <c r="U100" s="2" t="s">
        <v>453</v>
      </c>
    </row>
    <row r="101" customFormat="false" ht="15" hidden="false" customHeight="false" outlineLevel="0" collapsed="false">
      <c r="A101" s="2" t="s">
        <v>454</v>
      </c>
      <c r="B101" s="2" t="s">
        <v>441</v>
      </c>
      <c r="C101" s="2" t="s">
        <v>38</v>
      </c>
      <c r="D101" s="2" t="s">
        <v>442</v>
      </c>
      <c r="E101" s="2" t="s">
        <v>305</v>
      </c>
      <c r="F101" s="2" t="s">
        <v>83</v>
      </c>
      <c r="G101" s="2" t="s">
        <v>27</v>
      </c>
      <c r="H101" s="2" t="s">
        <v>222</v>
      </c>
      <c r="I101" s="2" t="s">
        <v>444</v>
      </c>
      <c r="J101" s="2" t="s">
        <v>445</v>
      </c>
      <c r="K101" s="2" t="s">
        <v>455</v>
      </c>
      <c r="L101" s="2" t="s">
        <v>38</v>
      </c>
      <c r="M101" s="2" t="s">
        <v>27</v>
      </c>
      <c r="N101" s="2" t="s">
        <v>305</v>
      </c>
      <c r="O101" s="2" t="s">
        <v>43</v>
      </c>
      <c r="P101" s="2" t="s">
        <v>33</v>
      </c>
      <c r="Q101" s="2" t="s">
        <v>444</v>
      </c>
      <c r="R101" s="2"/>
      <c r="S101" s="2"/>
      <c r="T101" s="2"/>
      <c r="U101" s="2" t="s">
        <v>456</v>
      </c>
    </row>
    <row r="102" customFormat="false" ht="15" hidden="false" customHeight="false" outlineLevel="0" collapsed="false">
      <c r="A102" s="2" t="s">
        <v>156</v>
      </c>
      <c r="B102" s="2" t="s">
        <v>457</v>
      </c>
      <c r="C102" s="2" t="s">
        <v>38</v>
      </c>
      <c r="D102" s="2" t="s">
        <v>458</v>
      </c>
      <c r="E102" s="2" t="s">
        <v>27</v>
      </c>
      <c r="F102" s="2" t="s">
        <v>27</v>
      </c>
      <c r="G102" s="2" t="s">
        <v>27</v>
      </c>
      <c r="H102" s="2" t="s">
        <v>222</v>
      </c>
      <c r="I102" s="2" t="s">
        <v>444</v>
      </c>
      <c r="J102" s="2" t="s">
        <v>445</v>
      </c>
      <c r="K102" s="2" t="s">
        <v>459</v>
      </c>
      <c r="L102" s="2" t="s">
        <v>38</v>
      </c>
      <c r="M102" s="2" t="s">
        <v>27</v>
      </c>
      <c r="N102" s="2" t="s">
        <v>27</v>
      </c>
      <c r="O102" s="2" t="s">
        <v>27</v>
      </c>
      <c r="P102" s="2" t="s">
        <v>33</v>
      </c>
      <c r="Q102" s="2" t="s">
        <v>444</v>
      </c>
      <c r="R102" s="2"/>
      <c r="S102" s="2"/>
      <c r="T102" s="2"/>
      <c r="U102" s="2" t="s">
        <v>460</v>
      </c>
    </row>
    <row r="103" customFormat="false" ht="15" hidden="false" customHeight="false" outlineLevel="0" collapsed="false">
      <c r="A103" s="2" t="s">
        <v>461</v>
      </c>
      <c r="B103" s="2" t="s">
        <v>462</v>
      </c>
      <c r="C103" s="2" t="s">
        <v>91</v>
      </c>
      <c r="D103" s="2" t="s">
        <v>463</v>
      </c>
      <c r="E103" s="2" t="s">
        <v>145</v>
      </c>
      <c r="F103" s="2" t="s">
        <v>32</v>
      </c>
      <c r="G103" s="2" t="s">
        <v>146</v>
      </c>
      <c r="H103" s="2" t="s">
        <v>222</v>
      </c>
      <c r="I103" s="2" t="s">
        <v>444</v>
      </c>
      <c r="J103" s="2" t="s">
        <v>445</v>
      </c>
      <c r="K103" s="2"/>
      <c r="L103" s="2" t="s">
        <v>91</v>
      </c>
      <c r="M103" s="2" t="s">
        <v>145</v>
      </c>
      <c r="N103" s="2" t="s">
        <v>27</v>
      </c>
      <c r="O103" s="2" t="s">
        <v>32</v>
      </c>
      <c r="P103" s="2" t="s">
        <v>33</v>
      </c>
      <c r="Q103" s="2" t="s">
        <v>444</v>
      </c>
      <c r="R103" s="2"/>
      <c r="S103" s="2"/>
      <c r="T103" s="2"/>
      <c r="U103" s="2" t="s">
        <v>464</v>
      </c>
    </row>
    <row r="104" customFormat="false" ht="15" hidden="false" customHeight="false" outlineLevel="0" collapsed="false">
      <c r="A104" s="2" t="s">
        <v>465</v>
      </c>
      <c r="B104" s="2" t="s">
        <v>466</v>
      </c>
      <c r="C104" s="2" t="s">
        <v>38</v>
      </c>
      <c r="D104" s="2" t="s">
        <v>467</v>
      </c>
      <c r="E104" s="2" t="s">
        <v>27</v>
      </c>
      <c r="F104" s="2" t="s">
        <v>32</v>
      </c>
      <c r="G104" s="2" t="s">
        <v>27</v>
      </c>
      <c r="H104" s="2" t="s">
        <v>275</v>
      </c>
      <c r="I104" s="2" t="s">
        <v>468</v>
      </c>
      <c r="J104" s="2" t="s">
        <v>469</v>
      </c>
      <c r="K104" s="2"/>
      <c r="L104" s="2" t="s">
        <v>38</v>
      </c>
      <c r="M104" s="2" t="s">
        <v>27</v>
      </c>
      <c r="N104" s="2" t="s">
        <v>27</v>
      </c>
      <c r="O104" s="2" t="s">
        <v>32</v>
      </c>
      <c r="P104" s="2" t="s">
        <v>33</v>
      </c>
      <c r="Q104" s="2" t="s">
        <v>468</v>
      </c>
      <c r="R104" s="2"/>
      <c r="S104" s="2"/>
      <c r="T104" s="2"/>
      <c r="U104" s="2" t="s">
        <v>470</v>
      </c>
    </row>
    <row r="105" customFormat="false" ht="15" hidden="false" customHeight="false" outlineLevel="0" collapsed="false">
      <c r="A105" s="2" t="s">
        <v>156</v>
      </c>
      <c r="B105" s="2" t="s">
        <v>471</v>
      </c>
      <c r="C105" s="2" t="s">
        <v>38</v>
      </c>
      <c r="D105" s="2" t="s">
        <v>472</v>
      </c>
      <c r="E105" s="2" t="s">
        <v>27</v>
      </c>
      <c r="F105" s="2" t="s">
        <v>27</v>
      </c>
      <c r="G105" s="2" t="s">
        <v>27</v>
      </c>
      <c r="H105" s="2" t="s">
        <v>275</v>
      </c>
      <c r="I105" s="2" t="s">
        <v>468</v>
      </c>
      <c r="J105" s="2" t="s">
        <v>469</v>
      </c>
      <c r="K105" s="2"/>
      <c r="L105" s="2" t="s">
        <v>38</v>
      </c>
      <c r="M105" s="2" t="s">
        <v>27</v>
      </c>
      <c r="N105" s="2" t="s">
        <v>27</v>
      </c>
      <c r="O105" s="2" t="s">
        <v>27</v>
      </c>
      <c r="P105" s="2" t="s">
        <v>33</v>
      </c>
      <c r="Q105" s="2" t="s">
        <v>468</v>
      </c>
      <c r="R105" s="2"/>
      <c r="S105" s="2"/>
      <c r="T105" s="2"/>
      <c r="U105" s="2" t="s">
        <v>473</v>
      </c>
    </row>
    <row r="106" customFormat="false" ht="15" hidden="false" customHeight="false" outlineLevel="0" collapsed="false">
      <c r="A106" s="2" t="s">
        <v>474</v>
      </c>
      <c r="B106" s="2" t="s">
        <v>475</v>
      </c>
      <c r="C106" s="2" t="s">
        <v>91</v>
      </c>
      <c r="D106" s="2" t="s">
        <v>476</v>
      </c>
      <c r="E106" s="2" t="s">
        <v>27</v>
      </c>
      <c r="F106" s="2" t="s">
        <v>477</v>
      </c>
      <c r="G106" s="2" t="s">
        <v>27</v>
      </c>
      <c r="H106" s="2" t="s">
        <v>275</v>
      </c>
      <c r="I106" s="2" t="s">
        <v>468</v>
      </c>
      <c r="J106" s="2" t="s">
        <v>469</v>
      </c>
      <c r="K106" s="2"/>
      <c r="L106" s="2" t="s">
        <v>91</v>
      </c>
      <c r="M106" s="2" t="s">
        <v>27</v>
      </c>
      <c r="N106" s="2" t="s">
        <v>27</v>
      </c>
      <c r="O106" s="2" t="s">
        <v>32</v>
      </c>
      <c r="P106" s="2" t="s">
        <v>33</v>
      </c>
      <c r="Q106" s="2" t="s">
        <v>468</v>
      </c>
      <c r="R106" s="2"/>
      <c r="S106" s="2"/>
      <c r="T106" s="2"/>
      <c r="U106" s="2" t="s">
        <v>478</v>
      </c>
    </row>
    <row r="107" customFormat="false" ht="15" hidden="false" customHeight="false" outlineLevel="0" collapsed="false">
      <c r="A107" s="2" t="s">
        <v>479</v>
      </c>
      <c r="B107" s="2" t="s">
        <v>480</v>
      </c>
      <c r="C107" s="2" t="s">
        <v>91</v>
      </c>
      <c r="D107" s="2" t="s">
        <v>39</v>
      </c>
      <c r="E107" s="2" t="s">
        <v>27</v>
      </c>
      <c r="F107" s="2" t="s">
        <v>27</v>
      </c>
      <c r="G107" s="2" t="s">
        <v>27</v>
      </c>
      <c r="H107" s="2" t="s">
        <v>275</v>
      </c>
      <c r="I107" s="2" t="s">
        <v>468</v>
      </c>
      <c r="J107" s="2" t="s">
        <v>469</v>
      </c>
      <c r="K107" s="2"/>
      <c r="L107" s="2" t="s">
        <v>91</v>
      </c>
      <c r="M107" s="2" t="s">
        <v>27</v>
      </c>
      <c r="N107" s="2" t="s">
        <v>27</v>
      </c>
      <c r="O107" s="2" t="s">
        <v>27</v>
      </c>
      <c r="P107" s="2" t="s">
        <v>33</v>
      </c>
      <c r="Q107" s="2" t="s">
        <v>468</v>
      </c>
      <c r="R107" s="2"/>
      <c r="S107" s="2"/>
      <c r="T107" s="2"/>
      <c r="U107" s="2" t="s">
        <v>481</v>
      </c>
    </row>
    <row r="108" customFormat="false" ht="15" hidden="false" customHeight="false" outlineLevel="0" collapsed="false">
      <c r="A108" s="2" t="s">
        <v>482</v>
      </c>
      <c r="B108" s="2" t="s">
        <v>483</v>
      </c>
      <c r="C108" s="2" t="s">
        <v>38</v>
      </c>
      <c r="D108" s="2" t="s">
        <v>39</v>
      </c>
      <c r="E108" s="2" t="s">
        <v>27</v>
      </c>
      <c r="F108" s="2" t="s">
        <v>27</v>
      </c>
      <c r="G108" s="2" t="s">
        <v>27</v>
      </c>
      <c r="H108" s="2" t="s">
        <v>275</v>
      </c>
      <c r="I108" s="2" t="s">
        <v>468</v>
      </c>
      <c r="J108" s="2" t="s">
        <v>469</v>
      </c>
      <c r="K108" s="2"/>
      <c r="L108" s="2" t="s">
        <v>38</v>
      </c>
      <c r="M108" s="2" t="s">
        <v>27</v>
      </c>
      <c r="N108" s="2" t="s">
        <v>27</v>
      </c>
      <c r="O108" s="2" t="s">
        <v>27</v>
      </c>
      <c r="P108" s="2" t="s">
        <v>33</v>
      </c>
      <c r="Q108" s="2" t="s">
        <v>468</v>
      </c>
      <c r="R108" s="2"/>
      <c r="S108" s="2"/>
      <c r="T108" s="2"/>
      <c r="U108" s="2" t="s">
        <v>484</v>
      </c>
    </row>
    <row r="109" customFormat="false" ht="15" hidden="false" customHeight="false" outlineLevel="0" collapsed="false">
      <c r="A109" s="2" t="s">
        <v>485</v>
      </c>
      <c r="B109" s="2" t="s">
        <v>486</v>
      </c>
      <c r="C109" s="2" t="s">
        <v>38</v>
      </c>
      <c r="D109" s="2" t="s">
        <v>39</v>
      </c>
      <c r="E109" s="2" t="s">
        <v>487</v>
      </c>
      <c r="F109" s="2" t="s">
        <v>83</v>
      </c>
      <c r="G109" s="2" t="s">
        <v>27</v>
      </c>
      <c r="H109" s="2" t="s">
        <v>275</v>
      </c>
      <c r="I109" s="2" t="s">
        <v>488</v>
      </c>
      <c r="J109" s="2" t="s">
        <v>489</v>
      </c>
      <c r="K109" s="2" t="s">
        <v>490</v>
      </c>
      <c r="L109" s="2" t="s">
        <v>38</v>
      </c>
      <c r="M109" s="2" t="s">
        <v>145</v>
      </c>
      <c r="N109" s="2" t="s">
        <v>124</v>
      </c>
      <c r="O109" s="2" t="s">
        <v>43</v>
      </c>
      <c r="P109" s="2" t="s">
        <v>33</v>
      </c>
      <c r="Q109" s="2" t="s">
        <v>488</v>
      </c>
      <c r="R109" s="2"/>
      <c r="S109" s="2"/>
      <c r="T109" s="2"/>
      <c r="U109" s="2" t="s">
        <v>491</v>
      </c>
    </row>
    <row r="110" customFormat="false" ht="15" hidden="false" customHeight="false" outlineLevel="0" collapsed="false">
      <c r="A110" s="2" t="s">
        <v>492</v>
      </c>
      <c r="B110" s="2" t="s">
        <v>483</v>
      </c>
      <c r="C110" s="2" t="s">
        <v>38</v>
      </c>
      <c r="D110" s="2" t="s">
        <v>39</v>
      </c>
      <c r="E110" s="2" t="s">
        <v>27</v>
      </c>
      <c r="F110" s="2" t="s">
        <v>493</v>
      </c>
      <c r="G110" s="2" t="s">
        <v>27</v>
      </c>
      <c r="H110" s="2" t="s">
        <v>275</v>
      </c>
      <c r="I110" s="2" t="s">
        <v>488</v>
      </c>
      <c r="J110" s="2" t="s">
        <v>489</v>
      </c>
      <c r="K110" s="2" t="s">
        <v>494</v>
      </c>
      <c r="L110" s="2" t="s">
        <v>38</v>
      </c>
      <c r="M110" s="2" t="s">
        <v>27</v>
      </c>
      <c r="N110" s="2" t="s">
        <v>27</v>
      </c>
      <c r="O110" s="2" t="s">
        <v>52</v>
      </c>
      <c r="P110" s="2" t="s">
        <v>33</v>
      </c>
      <c r="Q110" s="2" t="s">
        <v>488</v>
      </c>
      <c r="R110" s="2"/>
      <c r="S110" s="2"/>
      <c r="T110" s="2"/>
      <c r="U110" s="2" t="s">
        <v>495</v>
      </c>
    </row>
    <row r="111" customFormat="false" ht="15" hidden="false" customHeight="false" outlineLevel="0" collapsed="false">
      <c r="A111" s="2" t="s">
        <v>496</v>
      </c>
      <c r="B111" s="2" t="s">
        <v>143</v>
      </c>
      <c r="C111" s="2" t="s">
        <v>131</v>
      </c>
      <c r="D111" s="2" t="s">
        <v>497</v>
      </c>
      <c r="E111" s="2" t="s">
        <v>27</v>
      </c>
      <c r="F111" s="2" t="s">
        <v>27</v>
      </c>
      <c r="G111" s="2" t="s">
        <v>27</v>
      </c>
      <c r="H111" s="2" t="s">
        <v>108</v>
      </c>
      <c r="I111" s="2" t="s">
        <v>29</v>
      </c>
      <c r="J111" s="2" t="s">
        <v>498</v>
      </c>
      <c r="K111" s="2" t="s">
        <v>499</v>
      </c>
      <c r="L111" s="2" t="s">
        <v>120</v>
      </c>
      <c r="M111" s="2" t="s">
        <v>27</v>
      </c>
      <c r="N111" s="2" t="s">
        <v>27</v>
      </c>
      <c r="O111" s="2" t="s">
        <v>27</v>
      </c>
      <c r="P111" s="2" t="s">
        <v>33</v>
      </c>
      <c r="Q111" s="2" t="s">
        <v>34</v>
      </c>
      <c r="R111" s="2"/>
      <c r="S111" s="2"/>
      <c r="T111" s="2"/>
      <c r="U111" s="2" t="s">
        <v>500</v>
      </c>
    </row>
    <row r="112" customFormat="false" ht="15" hidden="false" customHeight="false" outlineLevel="0" collapsed="false">
      <c r="A112" s="2" t="s">
        <v>501</v>
      </c>
      <c r="B112" s="2" t="s">
        <v>502</v>
      </c>
      <c r="C112" s="2" t="s">
        <v>27</v>
      </c>
      <c r="D112" s="2" t="s">
        <v>503</v>
      </c>
      <c r="E112" s="2" t="s">
        <v>27</v>
      </c>
      <c r="F112" s="2" t="s">
        <v>504</v>
      </c>
      <c r="G112" s="2" t="s">
        <v>27</v>
      </c>
      <c r="H112" s="2" t="s">
        <v>108</v>
      </c>
      <c r="I112" s="2" t="s">
        <v>29</v>
      </c>
      <c r="J112" s="2" t="s">
        <v>498</v>
      </c>
      <c r="K112" s="2" t="s">
        <v>505</v>
      </c>
      <c r="L112" s="2" t="s">
        <v>27</v>
      </c>
      <c r="M112" s="2" t="s">
        <v>27</v>
      </c>
      <c r="N112" s="2" t="s">
        <v>27</v>
      </c>
      <c r="O112" s="2" t="s">
        <v>52</v>
      </c>
      <c r="P112" s="2" t="s">
        <v>33</v>
      </c>
      <c r="Q112" s="2" t="s">
        <v>34</v>
      </c>
      <c r="R112" s="2"/>
      <c r="S112" s="2"/>
      <c r="T112" s="2"/>
      <c r="U112" s="2" t="s">
        <v>506</v>
      </c>
    </row>
    <row r="113" customFormat="false" ht="15" hidden="false" customHeight="false" outlineLevel="0" collapsed="false">
      <c r="A113" s="2" t="s">
        <v>507</v>
      </c>
      <c r="B113" s="2" t="s">
        <v>143</v>
      </c>
      <c r="C113" s="2" t="s">
        <v>91</v>
      </c>
      <c r="D113" s="2" t="s">
        <v>508</v>
      </c>
      <c r="E113" s="2" t="s">
        <v>27</v>
      </c>
      <c r="F113" s="2" t="s">
        <v>509</v>
      </c>
      <c r="G113" s="2" t="s">
        <v>27</v>
      </c>
      <c r="H113" s="2" t="s">
        <v>108</v>
      </c>
      <c r="I113" s="2" t="s">
        <v>29</v>
      </c>
      <c r="J113" s="2" t="s">
        <v>510</v>
      </c>
      <c r="K113" s="2" t="s">
        <v>511</v>
      </c>
      <c r="L113" s="2" t="s">
        <v>91</v>
      </c>
      <c r="M113" s="2" t="s">
        <v>27</v>
      </c>
      <c r="N113" s="2" t="s">
        <v>27</v>
      </c>
      <c r="O113" s="2" t="s">
        <v>52</v>
      </c>
      <c r="P113" s="2" t="s">
        <v>33</v>
      </c>
      <c r="Q113" s="2" t="s">
        <v>34</v>
      </c>
      <c r="R113" s="2"/>
      <c r="S113" s="2"/>
      <c r="T113" s="2"/>
      <c r="U113" s="2" t="s">
        <v>512</v>
      </c>
    </row>
    <row r="114" customFormat="false" ht="15" hidden="false" customHeight="false" outlineLevel="0" collapsed="false">
      <c r="A114" s="2" t="s">
        <v>513</v>
      </c>
      <c r="B114" s="2" t="s">
        <v>514</v>
      </c>
      <c r="C114" s="2" t="s">
        <v>91</v>
      </c>
      <c r="D114" s="2" t="s">
        <v>515</v>
      </c>
      <c r="E114" s="2" t="s">
        <v>516</v>
      </c>
      <c r="F114" s="2" t="s">
        <v>58</v>
      </c>
      <c r="G114" s="2" t="s">
        <v>27</v>
      </c>
      <c r="H114" s="2" t="s">
        <v>108</v>
      </c>
      <c r="I114" s="2" t="s">
        <v>29</v>
      </c>
      <c r="J114" s="2" t="s">
        <v>510</v>
      </c>
      <c r="K114" s="2"/>
      <c r="L114" s="2" t="s">
        <v>91</v>
      </c>
      <c r="M114" s="2" t="s">
        <v>25</v>
      </c>
      <c r="N114" s="2" t="s">
        <v>27</v>
      </c>
      <c r="O114" s="2" t="s">
        <v>52</v>
      </c>
      <c r="P114" s="2" t="s">
        <v>33</v>
      </c>
      <c r="Q114" s="2" t="s">
        <v>34</v>
      </c>
      <c r="R114" s="2"/>
      <c r="S114" s="2"/>
      <c r="T114" s="2"/>
      <c r="U114" s="2" t="s">
        <v>517</v>
      </c>
    </row>
    <row r="115" customFormat="false" ht="15" hidden="false" customHeight="false" outlineLevel="0" collapsed="false">
      <c r="A115" s="2" t="s">
        <v>501</v>
      </c>
      <c r="B115" s="2" t="s">
        <v>518</v>
      </c>
      <c r="C115" s="2" t="s">
        <v>91</v>
      </c>
      <c r="D115" s="2" t="s">
        <v>39</v>
      </c>
      <c r="E115" s="2" t="s">
        <v>27</v>
      </c>
      <c r="F115" s="2" t="s">
        <v>27</v>
      </c>
      <c r="G115" s="2" t="s">
        <v>27</v>
      </c>
      <c r="H115" s="2" t="s">
        <v>108</v>
      </c>
      <c r="I115" s="2" t="s">
        <v>29</v>
      </c>
      <c r="J115" s="2" t="s">
        <v>510</v>
      </c>
      <c r="K115" s="2" t="s">
        <v>519</v>
      </c>
      <c r="L115" s="2" t="s">
        <v>91</v>
      </c>
      <c r="M115" s="2" t="s">
        <v>27</v>
      </c>
      <c r="N115" s="2" t="s">
        <v>27</v>
      </c>
      <c r="O115" s="2" t="s">
        <v>27</v>
      </c>
      <c r="P115" s="2" t="s">
        <v>33</v>
      </c>
      <c r="Q115" s="2" t="s">
        <v>34</v>
      </c>
      <c r="R115" s="2"/>
      <c r="S115" s="2"/>
      <c r="T115" s="2"/>
      <c r="U115" s="2" t="s">
        <v>520</v>
      </c>
    </row>
    <row r="116" customFormat="false" ht="15" hidden="false" customHeight="false" outlineLevel="0" collapsed="false">
      <c r="A116" s="2" t="s">
        <v>521</v>
      </c>
      <c r="B116" s="2" t="s">
        <v>522</v>
      </c>
      <c r="C116" s="2" t="s">
        <v>171</v>
      </c>
      <c r="D116" s="2" t="s">
        <v>39</v>
      </c>
      <c r="E116" s="2" t="s">
        <v>172</v>
      </c>
      <c r="F116" s="2" t="s">
        <v>27</v>
      </c>
      <c r="G116" s="2" t="s">
        <v>27</v>
      </c>
      <c r="H116" s="2" t="s">
        <v>275</v>
      </c>
      <c r="I116" s="2" t="s">
        <v>523</v>
      </c>
      <c r="J116" s="2" t="s">
        <v>524</v>
      </c>
      <c r="K116" s="2" t="s">
        <v>525</v>
      </c>
      <c r="L116" s="2" t="s">
        <v>120</v>
      </c>
      <c r="M116" s="2" t="s">
        <v>172</v>
      </c>
      <c r="N116" s="2" t="s">
        <v>27</v>
      </c>
      <c r="O116" s="2" t="s">
        <v>27</v>
      </c>
      <c r="P116" s="2" t="s">
        <v>33</v>
      </c>
      <c r="Q116" s="2" t="s">
        <v>523</v>
      </c>
      <c r="R116" s="2"/>
      <c r="S116" s="2"/>
      <c r="T116" s="2"/>
      <c r="U116" s="2" t="s">
        <v>526</v>
      </c>
    </row>
    <row r="117" customFormat="false" ht="15" hidden="false" customHeight="false" outlineLevel="0" collapsed="false">
      <c r="A117" s="2" t="s">
        <v>527</v>
      </c>
      <c r="B117" s="2" t="s">
        <v>528</v>
      </c>
      <c r="C117" s="2" t="s">
        <v>171</v>
      </c>
      <c r="D117" s="2" t="s">
        <v>96</v>
      </c>
      <c r="E117" s="2" t="s">
        <v>172</v>
      </c>
      <c r="F117" s="2" t="s">
        <v>387</v>
      </c>
      <c r="G117" s="2" t="s">
        <v>27</v>
      </c>
      <c r="H117" s="2" t="s">
        <v>275</v>
      </c>
      <c r="I117" s="2" t="s">
        <v>523</v>
      </c>
      <c r="J117" s="2" t="s">
        <v>524</v>
      </c>
      <c r="K117" s="2" t="s">
        <v>529</v>
      </c>
      <c r="L117" s="2" t="s">
        <v>120</v>
      </c>
      <c r="M117" s="2" t="s">
        <v>172</v>
      </c>
      <c r="N117" s="2" t="s">
        <v>27</v>
      </c>
      <c r="O117" s="2" t="s">
        <v>43</v>
      </c>
      <c r="P117" s="2" t="s">
        <v>33</v>
      </c>
      <c r="Q117" s="2" t="s">
        <v>523</v>
      </c>
      <c r="R117" s="2"/>
      <c r="S117" s="2"/>
      <c r="T117" s="2"/>
      <c r="U117" s="2" t="s">
        <v>530</v>
      </c>
    </row>
    <row r="118" customFormat="false" ht="15" hidden="false" customHeight="false" outlineLevel="0" collapsed="false">
      <c r="A118" s="2" t="s">
        <v>501</v>
      </c>
      <c r="B118" s="2" t="s">
        <v>531</v>
      </c>
      <c r="C118" s="2" t="s">
        <v>107</v>
      </c>
      <c r="D118" s="2" t="s">
        <v>39</v>
      </c>
      <c r="E118" s="2" t="s">
        <v>27</v>
      </c>
      <c r="F118" s="2" t="s">
        <v>532</v>
      </c>
      <c r="G118" s="2" t="s">
        <v>27</v>
      </c>
      <c r="H118" s="2" t="s">
        <v>275</v>
      </c>
      <c r="I118" s="2" t="s">
        <v>523</v>
      </c>
      <c r="J118" s="2" t="s">
        <v>524</v>
      </c>
      <c r="K118" s="2" t="s">
        <v>533</v>
      </c>
      <c r="L118" s="2" t="s">
        <v>107</v>
      </c>
      <c r="M118" s="2" t="s">
        <v>27</v>
      </c>
      <c r="N118" s="2" t="s">
        <v>27</v>
      </c>
      <c r="O118" s="2" t="s">
        <v>52</v>
      </c>
      <c r="P118" s="2" t="s">
        <v>33</v>
      </c>
      <c r="Q118" s="2" t="s">
        <v>523</v>
      </c>
      <c r="R118" s="2"/>
      <c r="S118" s="2"/>
      <c r="T118" s="2"/>
      <c r="U118" s="2" t="s">
        <v>534</v>
      </c>
    </row>
    <row r="119" customFormat="false" ht="15" hidden="false" customHeight="false" outlineLevel="0" collapsed="false">
      <c r="A119" s="2" t="s">
        <v>535</v>
      </c>
      <c r="B119" s="2" t="s">
        <v>536</v>
      </c>
      <c r="C119" s="2" t="s">
        <v>171</v>
      </c>
      <c r="D119" s="2" t="s">
        <v>537</v>
      </c>
      <c r="E119" s="2" t="s">
        <v>538</v>
      </c>
      <c r="F119" s="2" t="s">
        <v>27</v>
      </c>
      <c r="G119" s="2" t="s">
        <v>27</v>
      </c>
      <c r="H119" s="2" t="s">
        <v>108</v>
      </c>
      <c r="I119" s="2" t="s">
        <v>539</v>
      </c>
      <c r="J119" s="2" t="s">
        <v>540</v>
      </c>
      <c r="K119" s="2" t="s">
        <v>541</v>
      </c>
      <c r="L119" s="2" t="s">
        <v>120</v>
      </c>
      <c r="M119" s="2" t="s">
        <v>172</v>
      </c>
      <c r="N119" s="2" t="s">
        <v>27</v>
      </c>
      <c r="O119" s="2" t="s">
        <v>27</v>
      </c>
      <c r="P119" s="2" t="s">
        <v>33</v>
      </c>
      <c r="Q119" s="2" t="s">
        <v>542</v>
      </c>
      <c r="R119" s="2"/>
      <c r="S119" s="2"/>
      <c r="T119" s="2"/>
      <c r="U119" s="2" t="s">
        <v>543</v>
      </c>
    </row>
    <row r="120" customFormat="false" ht="15" hidden="false" customHeight="false" outlineLevel="0" collapsed="false">
      <c r="A120" s="2" t="s">
        <v>501</v>
      </c>
      <c r="B120" s="2" t="s">
        <v>544</v>
      </c>
      <c r="C120" s="2" t="s">
        <v>131</v>
      </c>
      <c r="D120" s="2" t="s">
        <v>157</v>
      </c>
      <c r="E120" s="2" t="s">
        <v>27</v>
      </c>
      <c r="F120" s="2" t="s">
        <v>27</v>
      </c>
      <c r="G120" s="2" t="s">
        <v>27</v>
      </c>
      <c r="H120" s="2" t="s">
        <v>108</v>
      </c>
      <c r="I120" s="2" t="s">
        <v>539</v>
      </c>
      <c r="J120" s="2" t="s">
        <v>540</v>
      </c>
      <c r="K120" s="2"/>
      <c r="L120" s="2" t="s">
        <v>120</v>
      </c>
      <c r="M120" s="2" t="s">
        <v>27</v>
      </c>
      <c r="N120" s="2" t="s">
        <v>27</v>
      </c>
      <c r="O120" s="2" t="s">
        <v>27</v>
      </c>
      <c r="P120" s="2" t="s">
        <v>33</v>
      </c>
      <c r="Q120" s="2" t="s">
        <v>542</v>
      </c>
      <c r="R120" s="2"/>
      <c r="S120" s="2"/>
      <c r="T120" s="2"/>
      <c r="U120" s="2" t="s">
        <v>545</v>
      </c>
    </row>
    <row r="121" customFormat="false" ht="15" hidden="false" customHeight="false" outlineLevel="0" collapsed="false">
      <c r="A121" s="2" t="s">
        <v>501</v>
      </c>
      <c r="B121" s="2" t="s">
        <v>113</v>
      </c>
      <c r="C121" s="2" t="s">
        <v>131</v>
      </c>
      <c r="D121" s="2" t="s">
        <v>39</v>
      </c>
      <c r="E121" s="2" t="s">
        <v>27</v>
      </c>
      <c r="F121" s="2" t="s">
        <v>27</v>
      </c>
      <c r="G121" s="2" t="s">
        <v>27</v>
      </c>
      <c r="H121" s="2" t="s">
        <v>108</v>
      </c>
      <c r="I121" s="2" t="s">
        <v>539</v>
      </c>
      <c r="J121" s="2" t="s">
        <v>540</v>
      </c>
      <c r="K121" s="2"/>
      <c r="L121" s="2" t="s">
        <v>120</v>
      </c>
      <c r="M121" s="2" t="s">
        <v>27</v>
      </c>
      <c r="N121" s="2" t="s">
        <v>27</v>
      </c>
      <c r="O121" s="2" t="s">
        <v>27</v>
      </c>
      <c r="P121" s="2" t="s">
        <v>33</v>
      </c>
      <c r="Q121" s="2" t="s">
        <v>542</v>
      </c>
      <c r="R121" s="2"/>
      <c r="S121" s="2"/>
      <c r="T121" s="2"/>
      <c r="U121" s="2" t="s">
        <v>546</v>
      </c>
    </row>
    <row r="122" customFormat="false" ht="15" hidden="false" customHeight="false" outlineLevel="0" collapsed="false">
      <c r="A122" s="2" t="s">
        <v>501</v>
      </c>
      <c r="B122" s="2" t="s">
        <v>547</v>
      </c>
      <c r="C122" s="2" t="s">
        <v>107</v>
      </c>
      <c r="D122" s="2" t="s">
        <v>426</v>
      </c>
      <c r="E122" s="2" t="s">
        <v>27</v>
      </c>
      <c r="F122" s="2" t="s">
        <v>83</v>
      </c>
      <c r="G122" s="2" t="s">
        <v>27</v>
      </c>
      <c r="H122" s="2" t="s">
        <v>108</v>
      </c>
      <c r="I122" s="2" t="s">
        <v>548</v>
      </c>
      <c r="J122" s="2" t="s">
        <v>549</v>
      </c>
      <c r="K122" s="2" t="s">
        <v>550</v>
      </c>
      <c r="L122" s="2" t="s">
        <v>107</v>
      </c>
      <c r="M122" s="2" t="s">
        <v>27</v>
      </c>
      <c r="N122" s="2" t="s">
        <v>27</v>
      </c>
      <c r="O122" s="2" t="s">
        <v>43</v>
      </c>
      <c r="P122" s="2" t="s">
        <v>33</v>
      </c>
      <c r="Q122" s="2" t="s">
        <v>548</v>
      </c>
      <c r="R122" s="2"/>
      <c r="S122" s="2"/>
      <c r="T122" s="2"/>
      <c r="U122" s="2" t="s">
        <v>551</v>
      </c>
    </row>
    <row r="123" customFormat="false" ht="15" hidden="false" customHeight="false" outlineLevel="0" collapsed="false">
      <c r="A123" s="2" t="s">
        <v>552</v>
      </c>
      <c r="B123" s="2" t="s">
        <v>553</v>
      </c>
      <c r="C123" s="2" t="s">
        <v>38</v>
      </c>
      <c r="D123" s="2" t="s">
        <v>554</v>
      </c>
      <c r="E123" s="2" t="s">
        <v>27</v>
      </c>
      <c r="F123" s="2" t="s">
        <v>315</v>
      </c>
      <c r="G123" s="2" t="s">
        <v>27</v>
      </c>
      <c r="H123" s="2" t="s">
        <v>108</v>
      </c>
      <c r="I123" s="2" t="s">
        <v>29</v>
      </c>
      <c r="J123" s="2" t="s">
        <v>126</v>
      </c>
      <c r="K123" s="2"/>
      <c r="L123" s="2" t="s">
        <v>38</v>
      </c>
      <c r="M123" s="2" t="s">
        <v>27</v>
      </c>
      <c r="N123" s="2" t="s">
        <v>27</v>
      </c>
      <c r="O123" s="2" t="s">
        <v>52</v>
      </c>
      <c r="P123" s="2" t="s">
        <v>33</v>
      </c>
      <c r="Q123" s="2" t="s">
        <v>34</v>
      </c>
      <c r="R123" s="2"/>
      <c r="S123" s="2"/>
      <c r="T123" s="2"/>
      <c r="U123" s="2" t="s">
        <v>555</v>
      </c>
    </row>
    <row r="124" customFormat="false" ht="15" hidden="false" customHeight="false" outlineLevel="0" collapsed="false">
      <c r="A124" s="2" t="s">
        <v>556</v>
      </c>
      <c r="B124" s="2" t="s">
        <v>557</v>
      </c>
      <c r="C124" s="2" t="s">
        <v>38</v>
      </c>
      <c r="D124" s="2" t="s">
        <v>558</v>
      </c>
      <c r="E124" s="2" t="s">
        <v>27</v>
      </c>
      <c r="F124" s="2" t="s">
        <v>559</v>
      </c>
      <c r="G124" s="2" t="s">
        <v>27</v>
      </c>
      <c r="H124" s="2" t="s">
        <v>108</v>
      </c>
      <c r="I124" s="2" t="s">
        <v>29</v>
      </c>
      <c r="J124" s="2" t="s">
        <v>126</v>
      </c>
      <c r="K124" s="2" t="s">
        <v>560</v>
      </c>
      <c r="L124" s="2" t="s">
        <v>38</v>
      </c>
      <c r="M124" s="2" t="s">
        <v>27</v>
      </c>
      <c r="N124" s="2" t="s">
        <v>27</v>
      </c>
      <c r="O124" s="2" t="s">
        <v>32</v>
      </c>
      <c r="P124" s="2" t="s">
        <v>33</v>
      </c>
      <c r="Q124" s="2" t="s">
        <v>34</v>
      </c>
      <c r="R124" s="2"/>
      <c r="S124" s="2"/>
      <c r="T124" s="2"/>
      <c r="U124" s="2" t="s">
        <v>561</v>
      </c>
    </row>
    <row r="125" customFormat="false" ht="15" hidden="false" customHeight="false" outlineLevel="0" collapsed="false">
      <c r="A125" s="2" t="s">
        <v>21</v>
      </c>
      <c r="B125" s="2" t="s">
        <v>326</v>
      </c>
      <c r="C125" s="2" t="s">
        <v>38</v>
      </c>
      <c r="D125" s="2" t="s">
        <v>327</v>
      </c>
      <c r="E125" s="2" t="s">
        <v>27</v>
      </c>
      <c r="F125" s="2" t="s">
        <v>27</v>
      </c>
      <c r="G125" s="2" t="s">
        <v>27</v>
      </c>
      <c r="H125" s="2" t="s">
        <v>108</v>
      </c>
      <c r="I125" s="2" t="s">
        <v>29</v>
      </c>
      <c r="J125" s="2" t="s">
        <v>126</v>
      </c>
      <c r="K125" s="2" t="s">
        <v>562</v>
      </c>
      <c r="L125" s="2" t="s">
        <v>38</v>
      </c>
      <c r="M125" s="2" t="s">
        <v>27</v>
      </c>
      <c r="N125" s="2" t="s">
        <v>27</v>
      </c>
      <c r="O125" s="2" t="s">
        <v>27</v>
      </c>
      <c r="P125" s="2" t="s">
        <v>33</v>
      </c>
      <c r="Q125" s="2" t="s">
        <v>34</v>
      </c>
      <c r="R125" s="2"/>
      <c r="S125" s="2"/>
      <c r="T125" s="2"/>
      <c r="U125" s="2" t="s">
        <v>563</v>
      </c>
    </row>
    <row r="126" customFormat="false" ht="15" hidden="false" customHeight="false" outlineLevel="0" collapsed="false">
      <c r="A126" s="2" t="s">
        <v>564</v>
      </c>
      <c r="B126" s="2" t="s">
        <v>565</v>
      </c>
      <c r="C126" s="2" t="s">
        <v>38</v>
      </c>
      <c r="D126" s="2" t="s">
        <v>566</v>
      </c>
      <c r="E126" s="2" t="s">
        <v>27</v>
      </c>
      <c r="F126" s="2" t="s">
        <v>27</v>
      </c>
      <c r="G126" s="2" t="s">
        <v>27</v>
      </c>
      <c r="H126" s="2" t="s">
        <v>108</v>
      </c>
      <c r="I126" s="2" t="s">
        <v>29</v>
      </c>
      <c r="J126" s="2" t="s">
        <v>126</v>
      </c>
      <c r="K126" s="2" t="s">
        <v>567</v>
      </c>
      <c r="L126" s="2" t="s">
        <v>38</v>
      </c>
      <c r="M126" s="2" t="s">
        <v>27</v>
      </c>
      <c r="N126" s="2" t="s">
        <v>27</v>
      </c>
      <c r="O126" s="2" t="s">
        <v>27</v>
      </c>
      <c r="P126" s="2" t="s">
        <v>33</v>
      </c>
      <c r="Q126" s="2" t="s">
        <v>34</v>
      </c>
      <c r="R126" s="2"/>
      <c r="S126" s="2"/>
      <c r="T126" s="2"/>
      <c r="U126" s="2" t="s">
        <v>568</v>
      </c>
    </row>
    <row r="127" customFormat="false" ht="15" hidden="false" customHeight="false" outlineLevel="0" collapsed="false">
      <c r="A127" s="2" t="s">
        <v>569</v>
      </c>
      <c r="B127" s="2" t="s">
        <v>570</v>
      </c>
      <c r="C127" s="2" t="s">
        <v>571</v>
      </c>
      <c r="D127" s="2" t="s">
        <v>39</v>
      </c>
      <c r="E127" s="2" t="s">
        <v>572</v>
      </c>
      <c r="F127" s="2" t="s">
        <v>27</v>
      </c>
      <c r="G127" s="2" t="s">
        <v>27</v>
      </c>
      <c r="H127" s="2" t="s">
        <v>222</v>
      </c>
      <c r="I127" s="2" t="s">
        <v>573</v>
      </c>
      <c r="J127" s="2" t="s">
        <v>574</v>
      </c>
      <c r="K127" s="2" t="s">
        <v>575</v>
      </c>
      <c r="L127" s="2" t="s">
        <v>91</v>
      </c>
      <c r="M127" s="2" t="s">
        <v>27</v>
      </c>
      <c r="N127" s="2" t="s">
        <v>124</v>
      </c>
      <c r="O127" s="2" t="s">
        <v>27</v>
      </c>
      <c r="P127" s="2" t="s">
        <v>33</v>
      </c>
      <c r="Q127" s="2" t="s">
        <v>573</v>
      </c>
      <c r="R127" s="2"/>
      <c r="S127" s="2"/>
      <c r="T127" s="2"/>
      <c r="U127" s="2" t="s">
        <v>576</v>
      </c>
    </row>
    <row r="128" customFormat="false" ht="15" hidden="false" customHeight="false" outlineLevel="0" collapsed="false">
      <c r="A128" s="2" t="s">
        <v>577</v>
      </c>
      <c r="B128" s="2" t="s">
        <v>578</v>
      </c>
      <c r="C128" s="2" t="s">
        <v>107</v>
      </c>
      <c r="D128" s="2" t="s">
        <v>579</v>
      </c>
      <c r="E128" s="2" t="s">
        <v>27</v>
      </c>
      <c r="F128" s="2" t="s">
        <v>580</v>
      </c>
      <c r="G128" s="2" t="s">
        <v>27</v>
      </c>
      <c r="H128" s="2" t="s">
        <v>222</v>
      </c>
      <c r="I128" s="2" t="s">
        <v>573</v>
      </c>
      <c r="J128" s="2" t="s">
        <v>574</v>
      </c>
      <c r="K128" s="2" t="s">
        <v>581</v>
      </c>
      <c r="L128" s="2" t="s">
        <v>107</v>
      </c>
      <c r="M128" s="2" t="s">
        <v>27</v>
      </c>
      <c r="N128" s="2" t="s">
        <v>27</v>
      </c>
      <c r="O128" s="2" t="s">
        <v>27</v>
      </c>
      <c r="P128" s="2" t="s">
        <v>33</v>
      </c>
      <c r="Q128" s="2" t="s">
        <v>573</v>
      </c>
      <c r="R128" s="2"/>
      <c r="S128" s="2"/>
      <c r="T128" s="2"/>
      <c r="U128" s="2" t="s">
        <v>582</v>
      </c>
    </row>
    <row r="129" customFormat="false" ht="15" hidden="false" customHeight="false" outlineLevel="0" collapsed="false">
      <c r="A129" s="2" t="s">
        <v>501</v>
      </c>
      <c r="B129" s="2" t="s">
        <v>583</v>
      </c>
      <c r="C129" s="2" t="s">
        <v>344</v>
      </c>
      <c r="D129" s="2" t="s">
        <v>584</v>
      </c>
      <c r="E129" s="2" t="s">
        <v>585</v>
      </c>
      <c r="F129" s="2" t="s">
        <v>27</v>
      </c>
      <c r="G129" s="2" t="s">
        <v>27</v>
      </c>
      <c r="H129" s="2" t="s">
        <v>222</v>
      </c>
      <c r="I129" s="2" t="s">
        <v>573</v>
      </c>
      <c r="J129" s="2" t="s">
        <v>574</v>
      </c>
      <c r="K129" s="2"/>
      <c r="L129" s="2" t="s">
        <v>344</v>
      </c>
      <c r="M129" s="2" t="s">
        <v>27</v>
      </c>
      <c r="N129" s="2" t="s">
        <v>124</v>
      </c>
      <c r="O129" s="2" t="s">
        <v>27</v>
      </c>
      <c r="P129" s="2" t="s">
        <v>33</v>
      </c>
      <c r="Q129" s="2" t="s">
        <v>573</v>
      </c>
      <c r="R129" s="2"/>
      <c r="S129" s="2"/>
      <c r="T129" s="2"/>
      <c r="U129" s="2" t="s">
        <v>586</v>
      </c>
    </row>
    <row r="130" customFormat="false" ht="15" hidden="false" customHeight="false" outlineLevel="0" collapsed="false">
      <c r="A130" s="2" t="s">
        <v>587</v>
      </c>
      <c r="B130" s="2" t="s">
        <v>588</v>
      </c>
      <c r="C130" s="2" t="s">
        <v>38</v>
      </c>
      <c r="D130" s="2" t="s">
        <v>39</v>
      </c>
      <c r="E130" s="2" t="s">
        <v>27</v>
      </c>
      <c r="F130" s="2" t="s">
        <v>27</v>
      </c>
      <c r="G130" s="2" t="s">
        <v>27</v>
      </c>
      <c r="H130" s="2" t="s">
        <v>222</v>
      </c>
      <c r="I130" s="2" t="s">
        <v>573</v>
      </c>
      <c r="J130" s="2" t="s">
        <v>574</v>
      </c>
      <c r="K130" s="2" t="s">
        <v>589</v>
      </c>
      <c r="L130" s="2" t="s">
        <v>38</v>
      </c>
      <c r="M130" s="2" t="s">
        <v>27</v>
      </c>
      <c r="N130" s="2" t="s">
        <v>27</v>
      </c>
      <c r="O130" s="2" t="s">
        <v>27</v>
      </c>
      <c r="P130" s="2" t="s">
        <v>33</v>
      </c>
      <c r="Q130" s="2" t="s">
        <v>573</v>
      </c>
      <c r="R130" s="2"/>
      <c r="S130" s="2"/>
      <c r="T130" s="2"/>
      <c r="U130" s="2" t="s">
        <v>590</v>
      </c>
    </row>
    <row r="131" customFormat="false" ht="15" hidden="false" customHeight="false" outlineLevel="0" collapsed="false">
      <c r="A131" s="2" t="s">
        <v>591</v>
      </c>
      <c r="B131" s="2" t="s">
        <v>592</v>
      </c>
      <c r="C131" s="2" t="s">
        <v>171</v>
      </c>
      <c r="D131" s="2" t="s">
        <v>593</v>
      </c>
      <c r="E131" s="2" t="s">
        <v>172</v>
      </c>
      <c r="F131" s="2" t="s">
        <v>32</v>
      </c>
      <c r="G131" s="2" t="s">
        <v>27</v>
      </c>
      <c r="H131" s="2" t="s">
        <v>222</v>
      </c>
      <c r="I131" s="2" t="s">
        <v>573</v>
      </c>
      <c r="J131" s="2" t="s">
        <v>574</v>
      </c>
      <c r="K131" s="2" t="s">
        <v>594</v>
      </c>
      <c r="L131" s="2" t="s">
        <v>120</v>
      </c>
      <c r="M131" s="2" t="s">
        <v>172</v>
      </c>
      <c r="N131" s="2" t="s">
        <v>27</v>
      </c>
      <c r="O131" s="2" t="s">
        <v>32</v>
      </c>
      <c r="P131" s="2" t="s">
        <v>33</v>
      </c>
      <c r="Q131" s="2" t="s">
        <v>573</v>
      </c>
      <c r="R131" s="2"/>
      <c r="S131" s="2"/>
      <c r="T131" s="2"/>
      <c r="U131" s="2" t="s">
        <v>595</v>
      </c>
    </row>
    <row r="132" customFormat="false" ht="15" hidden="false" customHeight="false" outlineLevel="0" collapsed="false">
      <c r="A132" s="2" t="s">
        <v>596</v>
      </c>
      <c r="B132" s="2" t="s">
        <v>597</v>
      </c>
      <c r="C132" s="2" t="s">
        <v>598</v>
      </c>
      <c r="D132" s="2" t="s">
        <v>39</v>
      </c>
      <c r="E132" s="2" t="s">
        <v>27</v>
      </c>
      <c r="F132" s="2" t="s">
        <v>27</v>
      </c>
      <c r="G132" s="2" t="s">
        <v>27</v>
      </c>
      <c r="H132" s="2" t="s">
        <v>275</v>
      </c>
      <c r="I132" s="2" t="s">
        <v>599</v>
      </c>
      <c r="J132" s="2" t="s">
        <v>600</v>
      </c>
      <c r="K132" s="2" t="s">
        <v>601</v>
      </c>
      <c r="L132" s="2" t="s">
        <v>598</v>
      </c>
      <c r="M132" s="2" t="s">
        <v>27</v>
      </c>
      <c r="N132" s="2" t="s">
        <v>27</v>
      </c>
      <c r="O132" s="2" t="s">
        <v>27</v>
      </c>
      <c r="P132" s="2" t="s">
        <v>33</v>
      </c>
      <c r="Q132" s="2" t="s">
        <v>599</v>
      </c>
      <c r="R132" s="2"/>
      <c r="S132" s="2"/>
      <c r="T132" s="2"/>
      <c r="U132" s="2" t="s">
        <v>602</v>
      </c>
    </row>
    <row r="133" customFormat="false" ht="15" hidden="false" customHeight="false" outlineLevel="0" collapsed="false">
      <c r="A133" s="2" t="s">
        <v>603</v>
      </c>
      <c r="B133" s="2" t="s">
        <v>604</v>
      </c>
      <c r="C133" s="2" t="s">
        <v>598</v>
      </c>
      <c r="D133" s="2" t="s">
        <v>39</v>
      </c>
      <c r="E133" s="2" t="s">
        <v>27</v>
      </c>
      <c r="F133" s="2" t="s">
        <v>27</v>
      </c>
      <c r="G133" s="2" t="s">
        <v>27</v>
      </c>
      <c r="H133" s="2" t="s">
        <v>275</v>
      </c>
      <c r="I133" s="2" t="s">
        <v>599</v>
      </c>
      <c r="J133" s="2" t="s">
        <v>600</v>
      </c>
      <c r="K133" s="2"/>
      <c r="L133" s="2" t="s">
        <v>598</v>
      </c>
      <c r="M133" s="2" t="s">
        <v>27</v>
      </c>
      <c r="N133" s="2" t="s">
        <v>27</v>
      </c>
      <c r="O133" s="2" t="s">
        <v>27</v>
      </c>
      <c r="P133" s="2" t="s">
        <v>33</v>
      </c>
      <c r="Q133" s="2" t="s">
        <v>599</v>
      </c>
      <c r="R133" s="2"/>
      <c r="S133" s="2"/>
      <c r="T133" s="2"/>
      <c r="U133" s="2" t="s">
        <v>605</v>
      </c>
    </row>
    <row r="134" customFormat="false" ht="15" hidden="false" customHeight="false" outlineLevel="0" collapsed="false">
      <c r="A134" s="2" t="s">
        <v>606</v>
      </c>
      <c r="B134" s="2" t="s">
        <v>607</v>
      </c>
      <c r="C134" s="2" t="s">
        <v>608</v>
      </c>
      <c r="D134" s="2" t="s">
        <v>39</v>
      </c>
      <c r="E134" s="2" t="s">
        <v>27</v>
      </c>
      <c r="F134" s="2" t="s">
        <v>27</v>
      </c>
      <c r="G134" s="2" t="s">
        <v>27</v>
      </c>
      <c r="H134" s="2" t="s">
        <v>222</v>
      </c>
      <c r="I134" s="2" t="s">
        <v>133</v>
      </c>
      <c r="J134" s="2" t="s">
        <v>609</v>
      </c>
      <c r="K134" s="2" t="s">
        <v>610</v>
      </c>
      <c r="L134" s="2" t="s">
        <v>147</v>
      </c>
      <c r="M134" s="2" t="s">
        <v>27</v>
      </c>
      <c r="N134" s="2" t="s">
        <v>27</v>
      </c>
      <c r="O134" s="2" t="s">
        <v>27</v>
      </c>
      <c r="P134" s="2" t="s">
        <v>33</v>
      </c>
      <c r="Q134" s="2" t="s">
        <v>136</v>
      </c>
      <c r="R134" s="2"/>
      <c r="S134" s="2"/>
      <c r="T134" s="2"/>
      <c r="U134" s="2" t="s">
        <v>611</v>
      </c>
    </row>
    <row r="135" customFormat="false" ht="15" hidden="false" customHeight="false" outlineLevel="0" collapsed="false">
      <c r="A135" s="2" t="s">
        <v>612</v>
      </c>
      <c r="B135" s="2" t="s">
        <v>143</v>
      </c>
      <c r="C135" s="2" t="s">
        <v>598</v>
      </c>
      <c r="D135" s="2" t="s">
        <v>39</v>
      </c>
      <c r="E135" s="2" t="s">
        <v>613</v>
      </c>
      <c r="F135" s="2" t="s">
        <v>614</v>
      </c>
      <c r="G135" s="2" t="s">
        <v>27</v>
      </c>
      <c r="H135" s="2" t="s">
        <v>222</v>
      </c>
      <c r="I135" s="2" t="s">
        <v>133</v>
      </c>
      <c r="J135" s="2" t="s">
        <v>609</v>
      </c>
      <c r="K135" s="2"/>
      <c r="L135" s="2" t="s">
        <v>598</v>
      </c>
      <c r="M135" s="2" t="s">
        <v>145</v>
      </c>
      <c r="N135" s="2" t="s">
        <v>124</v>
      </c>
      <c r="O135" s="2" t="s">
        <v>43</v>
      </c>
      <c r="P135" s="2" t="s">
        <v>33</v>
      </c>
      <c r="Q135" s="2" t="s">
        <v>136</v>
      </c>
      <c r="R135" s="2"/>
      <c r="S135" s="2"/>
      <c r="T135" s="2"/>
      <c r="U135" s="2" t="s">
        <v>615</v>
      </c>
    </row>
    <row r="136" customFormat="false" ht="15" hidden="false" customHeight="false" outlineLevel="0" collapsed="false">
      <c r="A136" s="2" t="s">
        <v>616</v>
      </c>
      <c r="B136" s="2" t="s">
        <v>475</v>
      </c>
      <c r="C136" s="2" t="s">
        <v>91</v>
      </c>
      <c r="D136" s="2" t="s">
        <v>476</v>
      </c>
      <c r="E136" s="2" t="s">
        <v>27</v>
      </c>
      <c r="F136" s="2" t="s">
        <v>477</v>
      </c>
      <c r="G136" s="2" t="s">
        <v>27</v>
      </c>
      <c r="H136" s="2" t="s">
        <v>275</v>
      </c>
      <c r="I136" s="2" t="s">
        <v>617</v>
      </c>
      <c r="J136" s="2" t="s">
        <v>618</v>
      </c>
      <c r="K136" s="2"/>
      <c r="L136" s="2" t="s">
        <v>91</v>
      </c>
      <c r="M136" s="2" t="s">
        <v>27</v>
      </c>
      <c r="N136" s="2" t="s">
        <v>27</v>
      </c>
      <c r="O136" s="2" t="s">
        <v>32</v>
      </c>
      <c r="P136" s="2" t="s">
        <v>33</v>
      </c>
      <c r="Q136" s="2" t="s">
        <v>617</v>
      </c>
      <c r="R136" s="2"/>
      <c r="S136" s="2"/>
      <c r="T136" s="2"/>
      <c r="U136" s="2" t="s">
        <v>619</v>
      </c>
    </row>
    <row r="137" customFormat="false" ht="15" hidden="false" customHeight="false" outlineLevel="0" collapsed="false">
      <c r="A137" s="2" t="s">
        <v>620</v>
      </c>
      <c r="B137" s="2" t="s">
        <v>621</v>
      </c>
      <c r="C137" s="2" t="s">
        <v>91</v>
      </c>
      <c r="D137" s="2" t="s">
        <v>622</v>
      </c>
      <c r="E137" s="2" t="s">
        <v>27</v>
      </c>
      <c r="F137" s="2" t="s">
        <v>27</v>
      </c>
      <c r="G137" s="2" t="s">
        <v>27</v>
      </c>
      <c r="H137" s="2" t="s">
        <v>275</v>
      </c>
      <c r="I137" s="2" t="s">
        <v>617</v>
      </c>
      <c r="J137" s="2" t="s">
        <v>618</v>
      </c>
      <c r="K137" s="2" t="s">
        <v>623</v>
      </c>
      <c r="L137" s="2" t="s">
        <v>91</v>
      </c>
      <c r="M137" s="2" t="s">
        <v>27</v>
      </c>
      <c r="N137" s="2" t="s">
        <v>27</v>
      </c>
      <c r="O137" s="2" t="s">
        <v>27</v>
      </c>
      <c r="P137" s="2" t="s">
        <v>33</v>
      </c>
      <c r="Q137" s="2" t="s">
        <v>617</v>
      </c>
      <c r="R137" s="2"/>
      <c r="S137" s="2"/>
      <c r="T137" s="2"/>
      <c r="U137" s="2" t="s">
        <v>624</v>
      </c>
    </row>
    <row r="138" customFormat="false" ht="15" hidden="false" customHeight="false" outlineLevel="0" collapsed="false">
      <c r="A138" s="2" t="s">
        <v>625</v>
      </c>
      <c r="B138" s="2" t="s">
        <v>626</v>
      </c>
      <c r="C138" s="2" t="s">
        <v>627</v>
      </c>
      <c r="D138" s="2" t="s">
        <v>39</v>
      </c>
      <c r="E138" s="2" t="s">
        <v>27</v>
      </c>
      <c r="F138" s="2" t="s">
        <v>27</v>
      </c>
      <c r="G138" s="2" t="s">
        <v>27</v>
      </c>
      <c r="H138" s="2" t="s">
        <v>275</v>
      </c>
      <c r="I138" s="2" t="s">
        <v>617</v>
      </c>
      <c r="J138" s="2" t="s">
        <v>618</v>
      </c>
      <c r="K138" s="2" t="s">
        <v>628</v>
      </c>
      <c r="L138" s="2" t="s">
        <v>91</v>
      </c>
      <c r="M138" s="2" t="s">
        <v>27</v>
      </c>
      <c r="N138" s="2" t="s">
        <v>27</v>
      </c>
      <c r="O138" s="2" t="s">
        <v>27</v>
      </c>
      <c r="P138" s="2" t="s">
        <v>33</v>
      </c>
      <c r="Q138" s="2" t="s">
        <v>617</v>
      </c>
      <c r="R138" s="2"/>
      <c r="S138" s="2"/>
      <c r="T138" s="2"/>
      <c r="U138" s="2" t="s">
        <v>629</v>
      </c>
    </row>
    <row r="139" customFormat="false" ht="15" hidden="false" customHeight="false" outlineLevel="0" collapsed="false">
      <c r="A139" s="2" t="s">
        <v>630</v>
      </c>
      <c r="B139" s="2" t="s">
        <v>475</v>
      </c>
      <c r="C139" s="2" t="s">
        <v>91</v>
      </c>
      <c r="D139" s="2" t="s">
        <v>476</v>
      </c>
      <c r="E139" s="2" t="s">
        <v>172</v>
      </c>
      <c r="F139" s="2" t="s">
        <v>32</v>
      </c>
      <c r="G139" s="2" t="s">
        <v>27</v>
      </c>
      <c r="H139" s="2" t="s">
        <v>275</v>
      </c>
      <c r="I139" s="2" t="s">
        <v>617</v>
      </c>
      <c r="J139" s="2" t="s">
        <v>618</v>
      </c>
      <c r="K139" s="2"/>
      <c r="L139" s="2" t="s">
        <v>91</v>
      </c>
      <c r="M139" s="2" t="s">
        <v>172</v>
      </c>
      <c r="N139" s="2" t="s">
        <v>27</v>
      </c>
      <c r="O139" s="2" t="s">
        <v>32</v>
      </c>
      <c r="P139" s="2" t="s">
        <v>33</v>
      </c>
      <c r="Q139" s="2" t="s">
        <v>617</v>
      </c>
      <c r="R139" s="2"/>
      <c r="S139" s="2"/>
      <c r="T139" s="2"/>
      <c r="U139" s="2" t="s">
        <v>631</v>
      </c>
    </row>
    <row r="140" customFormat="false" ht="15" hidden="false" customHeight="false" outlineLevel="0" collapsed="false">
      <c r="A140" s="2" t="s">
        <v>632</v>
      </c>
      <c r="B140" s="2" t="s">
        <v>633</v>
      </c>
      <c r="C140" s="2" t="s">
        <v>627</v>
      </c>
      <c r="D140" s="2" t="s">
        <v>39</v>
      </c>
      <c r="E140" s="2" t="s">
        <v>27</v>
      </c>
      <c r="F140" s="2" t="s">
        <v>27</v>
      </c>
      <c r="G140" s="2" t="s">
        <v>27</v>
      </c>
      <c r="H140" s="2" t="s">
        <v>275</v>
      </c>
      <c r="I140" s="2" t="s">
        <v>617</v>
      </c>
      <c r="J140" s="2" t="s">
        <v>618</v>
      </c>
      <c r="K140" s="2" t="s">
        <v>634</v>
      </c>
      <c r="L140" s="2" t="s">
        <v>91</v>
      </c>
      <c r="M140" s="2" t="s">
        <v>27</v>
      </c>
      <c r="N140" s="2" t="s">
        <v>27</v>
      </c>
      <c r="O140" s="2" t="s">
        <v>27</v>
      </c>
      <c r="P140" s="2" t="s">
        <v>33</v>
      </c>
      <c r="Q140" s="2" t="s">
        <v>617</v>
      </c>
      <c r="R140" s="2"/>
      <c r="S140" s="2"/>
      <c r="T140" s="2"/>
      <c r="U140" s="2" t="s">
        <v>635</v>
      </c>
    </row>
    <row r="141" customFormat="false" ht="15" hidden="false" customHeight="false" outlineLevel="0" collapsed="false">
      <c r="A141" s="2" t="s">
        <v>636</v>
      </c>
      <c r="B141" s="2" t="s">
        <v>138</v>
      </c>
      <c r="C141" s="2" t="s">
        <v>91</v>
      </c>
      <c r="D141" s="2" t="s">
        <v>39</v>
      </c>
      <c r="E141" s="2" t="s">
        <v>27</v>
      </c>
      <c r="F141" s="2" t="s">
        <v>637</v>
      </c>
      <c r="G141" s="2" t="s">
        <v>27</v>
      </c>
      <c r="H141" s="2" t="s">
        <v>275</v>
      </c>
      <c r="I141" s="2" t="s">
        <v>617</v>
      </c>
      <c r="J141" s="2" t="s">
        <v>618</v>
      </c>
      <c r="K141" s="2" t="s">
        <v>638</v>
      </c>
      <c r="L141" s="2" t="s">
        <v>91</v>
      </c>
      <c r="M141" s="2" t="s">
        <v>27</v>
      </c>
      <c r="N141" s="2" t="s">
        <v>27</v>
      </c>
      <c r="O141" s="2" t="s">
        <v>52</v>
      </c>
      <c r="P141" s="2" t="s">
        <v>33</v>
      </c>
      <c r="Q141" s="2" t="s">
        <v>617</v>
      </c>
      <c r="R141" s="2"/>
      <c r="S141" s="2"/>
      <c r="T141" s="2"/>
      <c r="U141" s="2" t="s">
        <v>639</v>
      </c>
    </row>
    <row r="142" customFormat="false" ht="15" hidden="false" customHeight="false" outlineLevel="0" collapsed="false">
      <c r="A142" s="2" t="s">
        <v>640</v>
      </c>
      <c r="B142" s="2" t="s">
        <v>475</v>
      </c>
      <c r="C142" s="2" t="s">
        <v>91</v>
      </c>
      <c r="D142" s="2" t="s">
        <v>476</v>
      </c>
      <c r="E142" s="2" t="s">
        <v>27</v>
      </c>
      <c r="F142" s="2" t="s">
        <v>195</v>
      </c>
      <c r="G142" s="2" t="s">
        <v>27</v>
      </c>
      <c r="H142" s="2" t="s">
        <v>275</v>
      </c>
      <c r="I142" s="2" t="s">
        <v>617</v>
      </c>
      <c r="J142" s="2" t="s">
        <v>618</v>
      </c>
      <c r="K142" s="2" t="s">
        <v>641</v>
      </c>
      <c r="L142" s="2" t="s">
        <v>91</v>
      </c>
      <c r="M142" s="2" t="s">
        <v>27</v>
      </c>
      <c r="N142" s="2" t="s">
        <v>27</v>
      </c>
      <c r="O142" s="2" t="s">
        <v>32</v>
      </c>
      <c r="P142" s="2" t="s">
        <v>33</v>
      </c>
      <c r="Q142" s="2" t="s">
        <v>617</v>
      </c>
      <c r="R142" s="2"/>
      <c r="S142" s="2"/>
      <c r="T142" s="2"/>
      <c r="U142" s="2" t="s">
        <v>642</v>
      </c>
    </row>
    <row r="143" customFormat="false" ht="15" hidden="false" customHeight="false" outlineLevel="0" collapsed="false">
      <c r="A143" s="2" t="s">
        <v>643</v>
      </c>
      <c r="B143" s="2" t="s">
        <v>644</v>
      </c>
      <c r="C143" s="2" t="s">
        <v>131</v>
      </c>
      <c r="D143" s="2" t="s">
        <v>66</v>
      </c>
      <c r="E143" s="2" t="s">
        <v>27</v>
      </c>
      <c r="F143" s="2" t="s">
        <v>645</v>
      </c>
      <c r="G143" s="2" t="s">
        <v>27</v>
      </c>
      <c r="H143" s="2" t="s">
        <v>275</v>
      </c>
      <c r="I143" s="2" t="s">
        <v>646</v>
      </c>
      <c r="J143" s="2" t="s">
        <v>647</v>
      </c>
      <c r="K143" s="2"/>
      <c r="L143" s="2" t="s">
        <v>120</v>
      </c>
      <c r="M143" s="2" t="s">
        <v>27</v>
      </c>
      <c r="N143" s="2" t="s">
        <v>27</v>
      </c>
      <c r="O143" s="2" t="s">
        <v>32</v>
      </c>
      <c r="P143" s="2" t="s">
        <v>33</v>
      </c>
      <c r="Q143" s="2" t="s">
        <v>646</v>
      </c>
      <c r="R143" s="2"/>
      <c r="S143" s="2"/>
      <c r="T143" s="2"/>
      <c r="U143" s="2" t="s">
        <v>648</v>
      </c>
    </row>
    <row r="144" customFormat="false" ht="15" hidden="false" customHeight="false" outlineLevel="0" collapsed="false">
      <c r="A144" s="2" t="s">
        <v>649</v>
      </c>
      <c r="B144" s="2" t="s">
        <v>379</v>
      </c>
      <c r="C144" s="2" t="s">
        <v>107</v>
      </c>
      <c r="D144" s="2" t="s">
        <v>380</v>
      </c>
      <c r="E144" s="2" t="s">
        <v>124</v>
      </c>
      <c r="F144" s="2" t="s">
        <v>27</v>
      </c>
      <c r="G144" s="2" t="s">
        <v>27</v>
      </c>
      <c r="H144" s="2" t="s">
        <v>275</v>
      </c>
      <c r="I144" s="2" t="s">
        <v>646</v>
      </c>
      <c r="J144" s="2" t="s">
        <v>647</v>
      </c>
      <c r="K144" s="2" t="s">
        <v>650</v>
      </c>
      <c r="L144" s="2" t="s">
        <v>107</v>
      </c>
      <c r="M144" s="2" t="s">
        <v>27</v>
      </c>
      <c r="N144" s="2" t="s">
        <v>124</v>
      </c>
      <c r="O144" s="2" t="s">
        <v>27</v>
      </c>
      <c r="P144" s="2" t="s">
        <v>33</v>
      </c>
      <c r="Q144" s="2" t="s">
        <v>646</v>
      </c>
      <c r="R144" s="2"/>
      <c r="S144" s="2"/>
      <c r="T144" s="2"/>
      <c r="U144" s="2" t="s">
        <v>651</v>
      </c>
    </row>
    <row r="145" customFormat="false" ht="15" hidden="false" customHeight="false" outlineLevel="0" collapsed="false">
      <c r="A145" s="2" t="s">
        <v>652</v>
      </c>
      <c r="B145" s="2" t="s">
        <v>113</v>
      </c>
      <c r="C145" s="2" t="s">
        <v>38</v>
      </c>
      <c r="D145" s="2" t="s">
        <v>39</v>
      </c>
      <c r="E145" s="2" t="s">
        <v>27</v>
      </c>
      <c r="F145" s="2" t="s">
        <v>387</v>
      </c>
      <c r="G145" s="2" t="s">
        <v>27</v>
      </c>
      <c r="H145" s="2" t="s">
        <v>275</v>
      </c>
      <c r="I145" s="2" t="s">
        <v>646</v>
      </c>
      <c r="J145" s="2" t="s">
        <v>647</v>
      </c>
      <c r="K145" s="2"/>
      <c r="L145" s="2" t="s">
        <v>38</v>
      </c>
      <c r="M145" s="2" t="s">
        <v>27</v>
      </c>
      <c r="N145" s="2" t="s">
        <v>27</v>
      </c>
      <c r="O145" s="2" t="s">
        <v>43</v>
      </c>
      <c r="P145" s="2" t="s">
        <v>33</v>
      </c>
      <c r="Q145" s="2" t="s">
        <v>646</v>
      </c>
      <c r="R145" s="2"/>
      <c r="S145" s="2"/>
      <c r="T145" s="2"/>
      <c r="U145" s="2" t="s">
        <v>653</v>
      </c>
    </row>
    <row r="146" customFormat="false" ht="15" hidden="false" customHeight="false" outlineLevel="0" collapsed="false">
      <c r="A146" s="2" t="s">
        <v>654</v>
      </c>
      <c r="B146" s="2" t="s">
        <v>113</v>
      </c>
      <c r="C146" s="2" t="s">
        <v>91</v>
      </c>
      <c r="D146" s="2" t="s">
        <v>39</v>
      </c>
      <c r="E146" s="2" t="s">
        <v>206</v>
      </c>
      <c r="F146" s="2" t="s">
        <v>83</v>
      </c>
      <c r="G146" s="2" t="s">
        <v>27</v>
      </c>
      <c r="H146" s="2" t="s">
        <v>275</v>
      </c>
      <c r="I146" s="2" t="s">
        <v>646</v>
      </c>
      <c r="J146" s="2" t="s">
        <v>647</v>
      </c>
      <c r="K146" s="2" t="s">
        <v>655</v>
      </c>
      <c r="L146" s="2" t="s">
        <v>91</v>
      </c>
      <c r="M146" s="2" t="s">
        <v>27</v>
      </c>
      <c r="N146" s="2" t="s">
        <v>206</v>
      </c>
      <c r="O146" s="2" t="s">
        <v>43</v>
      </c>
      <c r="P146" s="2" t="s">
        <v>33</v>
      </c>
      <c r="Q146" s="2" t="s">
        <v>646</v>
      </c>
      <c r="R146" s="2"/>
      <c r="S146" s="2"/>
      <c r="T146" s="2"/>
      <c r="U146" s="2" t="s">
        <v>656</v>
      </c>
    </row>
    <row r="147" customFormat="false" ht="15" hidden="false" customHeight="false" outlineLevel="0" collapsed="false">
      <c r="A147" s="2" t="s">
        <v>657</v>
      </c>
      <c r="B147" s="2" t="s">
        <v>113</v>
      </c>
      <c r="C147" s="2" t="s">
        <v>38</v>
      </c>
      <c r="D147" s="2" t="s">
        <v>39</v>
      </c>
      <c r="E147" s="2" t="s">
        <v>27</v>
      </c>
      <c r="F147" s="2" t="s">
        <v>32</v>
      </c>
      <c r="G147" s="2" t="s">
        <v>27</v>
      </c>
      <c r="H147" s="2" t="s">
        <v>275</v>
      </c>
      <c r="I147" s="2" t="s">
        <v>646</v>
      </c>
      <c r="J147" s="2" t="s">
        <v>647</v>
      </c>
      <c r="K147" s="2" t="s">
        <v>658</v>
      </c>
      <c r="L147" s="2" t="s">
        <v>38</v>
      </c>
      <c r="M147" s="2" t="s">
        <v>27</v>
      </c>
      <c r="N147" s="2" t="s">
        <v>27</v>
      </c>
      <c r="O147" s="2" t="s">
        <v>32</v>
      </c>
      <c r="P147" s="2" t="s">
        <v>33</v>
      </c>
      <c r="Q147" s="2" t="s">
        <v>646</v>
      </c>
      <c r="R147" s="2"/>
      <c r="S147" s="2"/>
      <c r="T147" s="2"/>
      <c r="U147" s="2" t="s">
        <v>659</v>
      </c>
    </row>
    <row r="148" customFormat="false" ht="15" hidden="false" customHeight="false" outlineLevel="0" collapsed="false">
      <c r="A148" s="2" t="s">
        <v>660</v>
      </c>
      <c r="B148" s="2" t="s">
        <v>661</v>
      </c>
      <c r="C148" s="2" t="s">
        <v>107</v>
      </c>
      <c r="D148" s="2" t="s">
        <v>39</v>
      </c>
      <c r="E148" s="2" t="s">
        <v>27</v>
      </c>
      <c r="F148" s="2" t="s">
        <v>32</v>
      </c>
      <c r="G148" s="2" t="s">
        <v>27</v>
      </c>
      <c r="H148" s="2" t="s">
        <v>275</v>
      </c>
      <c r="I148" s="2" t="s">
        <v>646</v>
      </c>
      <c r="J148" s="2" t="s">
        <v>647</v>
      </c>
      <c r="K148" s="2"/>
      <c r="L148" s="2" t="s">
        <v>107</v>
      </c>
      <c r="M148" s="2" t="s">
        <v>27</v>
      </c>
      <c r="N148" s="2" t="s">
        <v>27</v>
      </c>
      <c r="O148" s="2" t="s">
        <v>32</v>
      </c>
      <c r="P148" s="2" t="s">
        <v>33</v>
      </c>
      <c r="Q148" s="2" t="s">
        <v>646</v>
      </c>
      <c r="R148" s="2"/>
      <c r="S148" s="2"/>
      <c r="T148" s="2"/>
      <c r="U148" s="2" t="s">
        <v>662</v>
      </c>
    </row>
    <row r="149" customFormat="false" ht="15" hidden="false" customHeight="false" outlineLevel="0" collapsed="false">
      <c r="A149" s="2" t="s">
        <v>663</v>
      </c>
      <c r="B149" s="2" t="s">
        <v>664</v>
      </c>
      <c r="C149" s="2" t="s">
        <v>38</v>
      </c>
      <c r="D149" s="2" t="s">
        <v>261</v>
      </c>
      <c r="E149" s="2" t="s">
        <v>27</v>
      </c>
      <c r="F149" s="2" t="s">
        <v>27</v>
      </c>
      <c r="G149" s="2" t="s">
        <v>27</v>
      </c>
      <c r="H149" s="2" t="s">
        <v>275</v>
      </c>
      <c r="I149" s="2" t="s">
        <v>646</v>
      </c>
      <c r="J149" s="2" t="s">
        <v>647</v>
      </c>
      <c r="K149" s="2"/>
      <c r="L149" s="2" t="s">
        <v>38</v>
      </c>
      <c r="M149" s="2" t="s">
        <v>27</v>
      </c>
      <c r="N149" s="2" t="s">
        <v>27</v>
      </c>
      <c r="O149" s="2" t="s">
        <v>27</v>
      </c>
      <c r="P149" s="2" t="s">
        <v>33</v>
      </c>
      <c r="Q149" s="2" t="s">
        <v>646</v>
      </c>
      <c r="R149" s="2"/>
      <c r="S149" s="2"/>
      <c r="T149" s="2"/>
      <c r="U149" s="2" t="s">
        <v>665</v>
      </c>
    </row>
    <row r="150" customFormat="false" ht="15" hidden="false" customHeight="false" outlineLevel="0" collapsed="false">
      <c r="A150" s="2" t="s">
        <v>666</v>
      </c>
      <c r="B150" s="2" t="s">
        <v>667</v>
      </c>
      <c r="C150" s="2" t="s">
        <v>344</v>
      </c>
      <c r="D150" s="2" t="s">
        <v>39</v>
      </c>
      <c r="E150" s="2" t="s">
        <v>27</v>
      </c>
      <c r="F150" s="2" t="s">
        <v>27</v>
      </c>
      <c r="G150" s="2" t="s">
        <v>27</v>
      </c>
      <c r="H150" s="2" t="s">
        <v>275</v>
      </c>
      <c r="I150" s="2" t="s">
        <v>668</v>
      </c>
      <c r="J150" s="2" t="s">
        <v>669</v>
      </c>
      <c r="K150" s="2" t="s">
        <v>670</v>
      </c>
      <c r="L150" s="2" t="s">
        <v>344</v>
      </c>
      <c r="M150" s="2" t="s">
        <v>27</v>
      </c>
      <c r="N150" s="2" t="s">
        <v>27</v>
      </c>
      <c r="O150" s="2" t="s">
        <v>27</v>
      </c>
      <c r="P150" s="2" t="s">
        <v>33</v>
      </c>
      <c r="Q150" s="2" t="s">
        <v>668</v>
      </c>
      <c r="R150" s="2"/>
      <c r="S150" s="2"/>
      <c r="T150" s="2"/>
      <c r="U150" s="2" t="s">
        <v>671</v>
      </c>
    </row>
    <row r="151" customFormat="false" ht="15" hidden="false" customHeight="false" outlineLevel="0" collapsed="false">
      <c r="A151" s="2" t="s">
        <v>672</v>
      </c>
      <c r="B151" s="2" t="s">
        <v>673</v>
      </c>
      <c r="C151" s="2" t="s">
        <v>131</v>
      </c>
      <c r="D151" s="2" t="s">
        <v>39</v>
      </c>
      <c r="E151" s="2" t="s">
        <v>27</v>
      </c>
      <c r="F151" s="2" t="s">
        <v>27</v>
      </c>
      <c r="G151" s="2" t="s">
        <v>27</v>
      </c>
      <c r="H151" s="2" t="s">
        <v>275</v>
      </c>
      <c r="I151" s="2" t="s">
        <v>668</v>
      </c>
      <c r="J151" s="2" t="s">
        <v>669</v>
      </c>
      <c r="K151" s="2"/>
      <c r="L151" s="2" t="s">
        <v>120</v>
      </c>
      <c r="M151" s="2" t="s">
        <v>27</v>
      </c>
      <c r="N151" s="2" t="s">
        <v>27</v>
      </c>
      <c r="O151" s="2" t="s">
        <v>27</v>
      </c>
      <c r="P151" s="2" t="s">
        <v>33</v>
      </c>
      <c r="Q151" s="2" t="s">
        <v>668</v>
      </c>
      <c r="R151" s="2"/>
      <c r="S151" s="2"/>
      <c r="T151" s="2"/>
      <c r="U151" s="2" t="s">
        <v>674</v>
      </c>
    </row>
    <row r="152" customFormat="false" ht="15" hidden="false" customHeight="false" outlineLevel="0" collapsed="false">
      <c r="A152" s="2" t="s">
        <v>308</v>
      </c>
      <c r="B152" s="2" t="s">
        <v>675</v>
      </c>
      <c r="C152" s="2" t="s">
        <v>38</v>
      </c>
      <c r="D152" s="2" t="s">
        <v>96</v>
      </c>
      <c r="E152" s="2" t="s">
        <v>27</v>
      </c>
      <c r="F152" s="2" t="s">
        <v>27</v>
      </c>
      <c r="G152" s="2" t="s">
        <v>27</v>
      </c>
      <c r="H152" s="2" t="s">
        <v>275</v>
      </c>
      <c r="I152" s="2" t="s">
        <v>668</v>
      </c>
      <c r="J152" s="2" t="s">
        <v>669</v>
      </c>
      <c r="K152" s="2"/>
      <c r="L152" s="2" t="s">
        <v>38</v>
      </c>
      <c r="M152" s="2" t="s">
        <v>27</v>
      </c>
      <c r="N152" s="2" t="s">
        <v>27</v>
      </c>
      <c r="O152" s="2" t="s">
        <v>27</v>
      </c>
      <c r="P152" s="2" t="s">
        <v>33</v>
      </c>
      <c r="Q152" s="2" t="s">
        <v>668</v>
      </c>
      <c r="R152" s="2"/>
      <c r="S152" s="2"/>
      <c r="T152" s="2"/>
      <c r="U152" s="2" t="s">
        <v>676</v>
      </c>
    </row>
    <row r="153" customFormat="false" ht="15" hidden="false" customHeight="false" outlineLevel="0" collapsed="false">
      <c r="A153" s="2" t="s">
        <v>677</v>
      </c>
      <c r="B153" s="2" t="s">
        <v>678</v>
      </c>
      <c r="C153" s="2" t="s">
        <v>627</v>
      </c>
      <c r="D153" s="2" t="s">
        <v>39</v>
      </c>
      <c r="E153" s="2" t="s">
        <v>305</v>
      </c>
      <c r="F153" s="2" t="s">
        <v>83</v>
      </c>
      <c r="G153" s="2" t="s">
        <v>27</v>
      </c>
      <c r="H153" s="2" t="s">
        <v>275</v>
      </c>
      <c r="I153" s="2" t="s">
        <v>617</v>
      </c>
      <c r="J153" s="2" t="s">
        <v>679</v>
      </c>
      <c r="K153" s="2" t="s">
        <v>680</v>
      </c>
      <c r="L153" s="2" t="s">
        <v>91</v>
      </c>
      <c r="M153" s="2" t="s">
        <v>27</v>
      </c>
      <c r="N153" s="2" t="s">
        <v>305</v>
      </c>
      <c r="O153" s="2" t="s">
        <v>43</v>
      </c>
      <c r="P153" s="2" t="s">
        <v>33</v>
      </c>
      <c r="Q153" s="2" t="s">
        <v>617</v>
      </c>
      <c r="R153" s="2"/>
      <c r="S153" s="2"/>
      <c r="T153" s="2"/>
      <c r="U153" s="2" t="s">
        <v>681</v>
      </c>
    </row>
    <row r="154" customFormat="false" ht="15" hidden="false" customHeight="false" outlineLevel="0" collapsed="false">
      <c r="A154" s="2" t="s">
        <v>682</v>
      </c>
      <c r="B154" s="2" t="s">
        <v>683</v>
      </c>
      <c r="C154" s="2" t="s">
        <v>91</v>
      </c>
      <c r="D154" s="2" t="s">
        <v>39</v>
      </c>
      <c r="E154" s="2" t="s">
        <v>27</v>
      </c>
      <c r="F154" s="2" t="s">
        <v>27</v>
      </c>
      <c r="G154" s="2" t="s">
        <v>27</v>
      </c>
      <c r="H154" s="2" t="s">
        <v>275</v>
      </c>
      <c r="I154" s="2" t="s">
        <v>617</v>
      </c>
      <c r="J154" s="2" t="s">
        <v>679</v>
      </c>
      <c r="K154" s="2" t="s">
        <v>684</v>
      </c>
      <c r="L154" s="2" t="s">
        <v>91</v>
      </c>
      <c r="M154" s="2" t="s">
        <v>27</v>
      </c>
      <c r="N154" s="2" t="s">
        <v>27</v>
      </c>
      <c r="O154" s="2" t="s">
        <v>27</v>
      </c>
      <c r="P154" s="2" t="s">
        <v>33</v>
      </c>
      <c r="Q154" s="2" t="s">
        <v>617</v>
      </c>
      <c r="R154" s="2"/>
      <c r="S154" s="2"/>
      <c r="T154" s="2"/>
      <c r="U154" s="2" t="s">
        <v>685</v>
      </c>
    </row>
    <row r="155" customFormat="false" ht="15" hidden="false" customHeight="false" outlineLevel="0" collapsed="false">
      <c r="A155" s="2" t="s">
        <v>686</v>
      </c>
      <c r="B155" s="2" t="s">
        <v>138</v>
      </c>
      <c r="C155" s="2" t="s">
        <v>91</v>
      </c>
      <c r="D155" s="2" t="s">
        <v>39</v>
      </c>
      <c r="E155" s="2" t="s">
        <v>27</v>
      </c>
      <c r="F155" s="2" t="s">
        <v>27</v>
      </c>
      <c r="G155" s="2" t="s">
        <v>27</v>
      </c>
      <c r="H155" s="2" t="s">
        <v>275</v>
      </c>
      <c r="I155" s="2" t="s">
        <v>617</v>
      </c>
      <c r="J155" s="2" t="s">
        <v>679</v>
      </c>
      <c r="K155" s="2"/>
      <c r="L155" s="2" t="s">
        <v>91</v>
      </c>
      <c r="M155" s="2" t="s">
        <v>27</v>
      </c>
      <c r="N155" s="2" t="s">
        <v>27</v>
      </c>
      <c r="O155" s="2" t="s">
        <v>27</v>
      </c>
      <c r="P155" s="2" t="s">
        <v>33</v>
      </c>
      <c r="Q155" s="2" t="s">
        <v>617</v>
      </c>
      <c r="R155" s="2"/>
      <c r="S155" s="2"/>
      <c r="T155" s="2"/>
      <c r="U155" s="2" t="s">
        <v>687</v>
      </c>
    </row>
    <row r="156" customFormat="false" ht="15" hidden="false" customHeight="false" outlineLevel="0" collapsed="false">
      <c r="A156" s="2" t="s">
        <v>688</v>
      </c>
      <c r="B156" s="2" t="s">
        <v>689</v>
      </c>
      <c r="C156" s="2" t="s">
        <v>91</v>
      </c>
      <c r="D156" s="2" t="s">
        <v>39</v>
      </c>
      <c r="E156" s="2" t="s">
        <v>27</v>
      </c>
      <c r="F156" s="2" t="s">
        <v>32</v>
      </c>
      <c r="G156" s="2" t="s">
        <v>27</v>
      </c>
      <c r="H156" s="2" t="s">
        <v>275</v>
      </c>
      <c r="I156" s="2" t="s">
        <v>617</v>
      </c>
      <c r="J156" s="2" t="s">
        <v>679</v>
      </c>
      <c r="K156" s="2" t="s">
        <v>690</v>
      </c>
      <c r="L156" s="2" t="s">
        <v>91</v>
      </c>
      <c r="M156" s="2" t="s">
        <v>27</v>
      </c>
      <c r="N156" s="2" t="s">
        <v>27</v>
      </c>
      <c r="O156" s="2" t="s">
        <v>32</v>
      </c>
      <c r="P156" s="2" t="s">
        <v>33</v>
      </c>
      <c r="Q156" s="2" t="s">
        <v>617</v>
      </c>
      <c r="R156" s="2"/>
      <c r="S156" s="2"/>
      <c r="T156" s="2"/>
      <c r="U156" s="2" t="s">
        <v>691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0"/>
    <col collapsed="false" customWidth="true" hidden="false" outlineLevel="0" max="3" min="3" style="0" width="55"/>
    <col collapsed="false" customWidth="true" hidden="false" outlineLevel="0" max="4" min="4" style="0" width="16"/>
    <col collapsed="false" customWidth="true" hidden="false" outlineLevel="0" max="5" min="5" style="0" width="55"/>
  </cols>
  <sheetData>
    <row r="1" customFormat="false" ht="17.35" hidden="false" customHeight="false" outlineLevel="0" collapsed="false">
      <c r="A1" s="3" t="s">
        <v>692</v>
      </c>
    </row>
    <row r="3" customFormat="false" ht="15" hidden="false" customHeight="false" outlineLevel="0" collapsed="false">
      <c r="A3" s="4" t="s">
        <v>693</v>
      </c>
      <c r="B3" s="4" t="s">
        <v>694</v>
      </c>
      <c r="C3" s="4" t="s">
        <v>695</v>
      </c>
      <c r="D3" s="4" t="s">
        <v>696</v>
      </c>
      <c r="E3" s="4" t="s">
        <v>697</v>
      </c>
    </row>
    <row r="4" customFormat="false" ht="15" hidden="false" customHeight="false" outlineLevel="0" collapsed="false">
      <c r="A4" s="2" t="s">
        <v>698</v>
      </c>
      <c r="B4" s="2" t="n">
        <v>6.9</v>
      </c>
      <c r="C4" s="2" t="s">
        <v>699</v>
      </c>
      <c r="D4" s="2" t="s">
        <v>700</v>
      </c>
      <c r="E4" s="2" t="s">
        <v>701</v>
      </c>
    </row>
    <row r="5" customFormat="false" ht="15" hidden="false" customHeight="false" outlineLevel="0" collapsed="false">
      <c r="A5" s="2" t="s">
        <v>702</v>
      </c>
      <c r="B5" s="2" t="n">
        <v>6.3</v>
      </c>
      <c r="C5" s="2" t="s">
        <v>699</v>
      </c>
      <c r="D5" s="2" t="s">
        <v>703</v>
      </c>
      <c r="E5" s="2" t="s">
        <v>704</v>
      </c>
    </row>
    <row r="6" customFormat="false" ht="15" hidden="false" customHeight="false" outlineLevel="0" collapsed="false">
      <c r="A6" s="2" t="s">
        <v>705</v>
      </c>
      <c r="B6" s="2" t="n">
        <v>9.7</v>
      </c>
      <c r="C6" s="2" t="s">
        <v>699</v>
      </c>
      <c r="D6" s="2" t="s">
        <v>700</v>
      </c>
      <c r="E6" s="2" t="s">
        <v>701</v>
      </c>
    </row>
    <row r="7" customFormat="false" ht="15" hidden="false" customHeight="false" outlineLevel="0" collapsed="false">
      <c r="A7" s="2" t="s">
        <v>706</v>
      </c>
      <c r="B7" s="2" t="n">
        <v>47.7</v>
      </c>
      <c r="C7" s="2" t="s">
        <v>699</v>
      </c>
      <c r="D7" s="2" t="s">
        <v>700</v>
      </c>
      <c r="E7" s="2" t="s">
        <v>707</v>
      </c>
    </row>
    <row r="8" customFormat="false" ht="15" hidden="false" customHeight="false" outlineLevel="0" collapsed="false">
      <c r="A8" s="2" t="s">
        <v>708</v>
      </c>
      <c r="B8" s="2" t="n">
        <v>44.9</v>
      </c>
      <c r="C8" s="2" t="s">
        <v>699</v>
      </c>
      <c r="D8" s="2" t="s">
        <v>703</v>
      </c>
      <c r="E8" s="2" t="s">
        <v>704</v>
      </c>
    </row>
    <row r="9" customFormat="false" ht="15" hidden="false" customHeight="false" outlineLevel="0" collapsed="false">
      <c r="A9" s="2" t="s">
        <v>709</v>
      </c>
      <c r="B9" s="2" t="n">
        <v>41.2</v>
      </c>
      <c r="C9" s="2" t="s">
        <v>699</v>
      </c>
      <c r="D9" s="2" t="s">
        <v>710</v>
      </c>
      <c r="E9" s="2" t="s">
        <v>711</v>
      </c>
    </row>
    <row r="10" customFormat="false" ht="15" hidden="false" customHeight="false" outlineLevel="0" collapsed="false">
      <c r="A10" s="2" t="s">
        <v>712</v>
      </c>
      <c r="B10" s="2" t="n">
        <v>33.1</v>
      </c>
      <c r="C10" s="2" t="s">
        <v>699</v>
      </c>
      <c r="D10" s="2" t="s">
        <v>710</v>
      </c>
      <c r="E10" s="2" t="s">
        <v>711</v>
      </c>
    </row>
    <row r="11" customFormat="false" ht="15" hidden="false" customHeight="false" outlineLevel="0" collapsed="false">
      <c r="A11" s="2" t="s">
        <v>713</v>
      </c>
      <c r="B11" s="2" t="n">
        <v>37.4</v>
      </c>
      <c r="C11" s="2" t="s">
        <v>699</v>
      </c>
      <c r="D11" s="2" t="s">
        <v>714</v>
      </c>
      <c r="E11" s="2" t="s">
        <v>711</v>
      </c>
    </row>
    <row r="12" customFormat="false" ht="15" hidden="false" customHeight="false" outlineLevel="0" collapsed="false">
      <c r="A12" s="2" t="s">
        <v>715</v>
      </c>
      <c r="B12" s="2" t="n">
        <v>39000</v>
      </c>
      <c r="C12" s="2" t="s">
        <v>54</v>
      </c>
      <c r="D12" s="2" t="s">
        <v>700</v>
      </c>
      <c r="E12" s="2" t="s">
        <v>711</v>
      </c>
    </row>
    <row r="13" customFormat="false" ht="15" hidden="false" customHeight="false" outlineLevel="0" collapsed="false">
      <c r="A13" s="2" t="s">
        <v>716</v>
      </c>
      <c r="B13" s="2" t="n">
        <v>24000</v>
      </c>
      <c r="C13" s="2" t="s">
        <v>54</v>
      </c>
      <c r="D13" s="2" t="s">
        <v>717</v>
      </c>
      <c r="E13" s="2" t="s">
        <v>711</v>
      </c>
    </row>
    <row r="14" customFormat="false" ht="15" hidden="false" customHeight="false" outlineLevel="0" collapsed="false">
      <c r="A14" s="2" t="s">
        <v>718</v>
      </c>
      <c r="B14" s="2" t="n">
        <v>2000</v>
      </c>
      <c r="C14" s="2" t="s">
        <v>719</v>
      </c>
      <c r="D14" s="2" t="s">
        <v>700</v>
      </c>
      <c r="E14" s="2" t="s">
        <v>711</v>
      </c>
    </row>
    <row r="15" customFormat="false" ht="15" hidden="false" customHeight="false" outlineLevel="0" collapsed="false">
      <c r="A15" s="2" t="s">
        <v>720</v>
      </c>
      <c r="B15" s="2" t="n">
        <v>4500</v>
      </c>
      <c r="C15" s="2" t="s">
        <v>719</v>
      </c>
      <c r="D15" s="2" t="s">
        <v>703</v>
      </c>
      <c r="E15" s="2" t="s">
        <v>711</v>
      </c>
    </row>
    <row r="16" customFormat="false" ht="15" hidden="false" customHeight="false" outlineLevel="0" collapsed="false">
      <c r="A16" s="2" t="s">
        <v>721</v>
      </c>
      <c r="B16" s="2" t="n">
        <v>11.1</v>
      </c>
      <c r="C16" s="2" t="s">
        <v>699</v>
      </c>
      <c r="D16" s="2" t="s">
        <v>703</v>
      </c>
      <c r="E16" s="2" t="s">
        <v>704</v>
      </c>
    </row>
    <row r="17" customFormat="false" ht="15" hidden="false" customHeight="false" outlineLevel="0" collapsed="false">
      <c r="A17" s="2" t="s">
        <v>722</v>
      </c>
      <c r="B17" s="2" t="n">
        <v>5.47</v>
      </c>
      <c r="C17" s="2" t="s">
        <v>699</v>
      </c>
      <c r="D17" s="2" t="s">
        <v>710</v>
      </c>
      <c r="E17" s="2" t="s">
        <v>723</v>
      </c>
    </row>
    <row r="18" customFormat="false" ht="15" hidden="false" customHeight="false" outlineLevel="0" collapsed="false">
      <c r="A18" s="2" t="s">
        <v>724</v>
      </c>
      <c r="B18" s="2" t="n">
        <v>54000</v>
      </c>
      <c r="C18" s="2" t="s">
        <v>725</v>
      </c>
      <c r="D18" s="2" t="s">
        <v>700</v>
      </c>
      <c r="E18" s="2" t="s">
        <v>701</v>
      </c>
    </row>
    <row r="20" customFormat="false" ht="15" hidden="false" customHeight="false" outlineLevel="0" collapsed="false">
      <c r="A20" s="5" t="s">
        <v>726</v>
      </c>
    </row>
    <row r="21" customFormat="false" ht="15" hidden="false" customHeight="false" outlineLevel="0" collapsed="false">
      <c r="A21" s="4" t="s">
        <v>727</v>
      </c>
      <c r="B21" s="4" t="s">
        <v>728</v>
      </c>
      <c r="C21" s="4" t="s">
        <v>729</v>
      </c>
    </row>
    <row r="22" customFormat="false" ht="15" hidden="false" customHeight="false" outlineLevel="0" collapsed="false">
      <c r="A22" s="2" t="s">
        <v>730</v>
      </c>
      <c r="B22" s="6" t="n">
        <f aca="false">COUNTIF(Cleaned_Data!P2:P156,"Yes")/COUNTA(Cleaned_Data!P2:P156)</f>
        <v>0.0258064516129032</v>
      </c>
      <c r="C22" s="2" t="s">
        <v>731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17.35" hidden="false" customHeight="false" outlineLevel="0" collapsed="false">
      <c r="A1" s="3" t="s">
        <v>732</v>
      </c>
    </row>
    <row r="3" customFormat="false" ht="15" hidden="false" customHeight="false" outlineLevel="0" collapsed="false">
      <c r="A3" s="1" t="s">
        <v>733</v>
      </c>
      <c r="B3" s="1" t="s">
        <v>734</v>
      </c>
    </row>
    <row r="4" customFormat="false" ht="15" hidden="false" customHeight="false" outlineLevel="0" collapsed="false">
      <c r="A4" s="2" t="s">
        <v>91</v>
      </c>
      <c r="B4" s="2" t="n">
        <f aca="false">COUNTIF(Cleaned_Data!L2:L156,A4)</f>
        <v>43</v>
      </c>
    </row>
    <row r="5" customFormat="false" ht="15" hidden="false" customHeight="false" outlineLevel="0" collapsed="false">
      <c r="A5" s="2" t="s">
        <v>38</v>
      </c>
      <c r="B5" s="2" t="n">
        <f aca="false">COUNTIF(Cleaned_Data!L2:L156,A5)</f>
        <v>35</v>
      </c>
    </row>
    <row r="6" customFormat="false" ht="15" hidden="false" customHeight="false" outlineLevel="0" collapsed="false">
      <c r="A6" s="2" t="s">
        <v>120</v>
      </c>
      <c r="B6" s="2" t="n">
        <f aca="false">COUNTIF(Cleaned_Data!L2:L156,A6)</f>
        <v>34</v>
      </c>
    </row>
    <row r="7" customFormat="false" ht="15" hidden="false" customHeight="false" outlineLevel="0" collapsed="false">
      <c r="A7" s="2" t="s">
        <v>107</v>
      </c>
      <c r="B7" s="2" t="n">
        <f aca="false">COUNTIF(Cleaned_Data!L2:L156,A7)</f>
        <v>16</v>
      </c>
    </row>
    <row r="8" customFormat="false" ht="15" hidden="false" customHeight="false" outlineLevel="0" collapsed="false">
      <c r="A8" s="2" t="s">
        <v>27</v>
      </c>
      <c r="B8" s="2" t="n">
        <f aca="false">COUNTIF(Cleaned_Data!L2:L156,A8)</f>
        <v>9</v>
      </c>
    </row>
    <row r="9" customFormat="false" ht="15" hidden="false" customHeight="false" outlineLevel="0" collapsed="false">
      <c r="A9" s="2" t="s">
        <v>23</v>
      </c>
      <c r="B9" s="2" t="n">
        <f aca="false">COUNTIF(Cleaned_Data!L2:L156,A9)</f>
        <v>5</v>
      </c>
    </row>
    <row r="10" customFormat="false" ht="15" hidden="false" customHeight="false" outlineLevel="0" collapsed="false">
      <c r="A10" s="2" t="s">
        <v>344</v>
      </c>
      <c r="B10" s="2" t="n">
        <f aca="false">COUNTIF(Cleaned_Data!L2:L156,A10)</f>
        <v>4</v>
      </c>
    </row>
    <row r="11" customFormat="false" ht="15" hidden="false" customHeight="false" outlineLevel="0" collapsed="false">
      <c r="A11" s="2" t="s">
        <v>147</v>
      </c>
      <c r="B11" s="2" t="n">
        <f aca="false">COUNTIF(Cleaned_Data!L2:L156,A11)</f>
        <v>3</v>
      </c>
    </row>
    <row r="12" customFormat="false" ht="15" hidden="false" customHeight="false" outlineLevel="0" collapsed="false">
      <c r="A12" s="2" t="s">
        <v>598</v>
      </c>
      <c r="B12" s="2" t="n">
        <f aca="false">COUNTIF(Cleaned_Data!L2:L156,A12)</f>
        <v>3</v>
      </c>
    </row>
    <row r="13" customFormat="false" ht="15" hidden="false" customHeight="false" outlineLevel="0" collapsed="false">
      <c r="A13" s="2" t="s">
        <v>98</v>
      </c>
      <c r="B13" s="2" t="n">
        <f aca="false">COUNTIF(Cleaned_Data!L2:L156,A13)</f>
        <v>1</v>
      </c>
    </row>
    <row r="14" customFormat="false" ht="15" hidden="false" customHeight="false" outlineLevel="0" collapsed="false">
      <c r="A14" s="2" t="s">
        <v>168</v>
      </c>
      <c r="B14" s="2" t="n">
        <f aca="false">COUNTIF(Cleaned_Data!L2:L156,A14)</f>
        <v>1</v>
      </c>
    </row>
    <row r="15" customFormat="false" ht="15" hidden="false" customHeight="false" outlineLevel="0" collapsed="false">
      <c r="A15" s="2" t="s">
        <v>341</v>
      </c>
      <c r="B15" s="2" t="n">
        <f aca="false">COUNTIF(Cleaned_Data!L2:L156,A15)</f>
        <v>1</v>
      </c>
    </row>
    <row r="16" customFormat="false" ht="15" hidden="false" customHeight="false" outlineLevel="0" collapsed="false">
      <c r="A16" s="7" t="s">
        <v>735</v>
      </c>
      <c r="B16" s="7" t="n">
        <f aca="false">SUM(B4:B15)</f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17.35" hidden="false" customHeight="false" outlineLevel="0" collapsed="false">
      <c r="A1" s="3" t="s">
        <v>736</v>
      </c>
    </row>
    <row r="3" customFormat="false" ht="15" hidden="false" customHeight="false" outlineLevel="0" collapsed="false">
      <c r="A3" s="1" t="s">
        <v>737</v>
      </c>
      <c r="B3" s="1" t="s">
        <v>734</v>
      </c>
    </row>
    <row r="4" customFormat="false" ht="15" hidden="false" customHeight="false" outlineLevel="0" collapsed="false">
      <c r="A4" s="2" t="s">
        <v>275</v>
      </c>
      <c r="B4" s="2" t="n">
        <f aca="false">COUNTIF(Cleaned_Data!H2:H156,A4)</f>
        <v>67</v>
      </c>
    </row>
    <row r="5" customFormat="false" ht="15" hidden="false" customHeight="false" outlineLevel="0" collapsed="false">
      <c r="A5" s="2" t="s">
        <v>108</v>
      </c>
      <c r="B5" s="2" t="n">
        <f aca="false">COUNTIF(Cleaned_Data!H2:H156,A5)</f>
        <v>37</v>
      </c>
    </row>
    <row r="6" customFormat="false" ht="15" hidden="false" customHeight="false" outlineLevel="0" collapsed="false">
      <c r="A6" s="2" t="s">
        <v>158</v>
      </c>
      <c r="B6" s="2" t="n">
        <f aca="false">COUNTIF(Cleaned_Data!H2:H156,A6)</f>
        <v>19</v>
      </c>
    </row>
    <row r="7" customFormat="false" ht="15" hidden="false" customHeight="false" outlineLevel="0" collapsed="false">
      <c r="A7" s="2" t="s">
        <v>222</v>
      </c>
      <c r="B7" s="2" t="n">
        <f aca="false">COUNTIF(Cleaned_Data!H2:H156,A7)</f>
        <v>17</v>
      </c>
    </row>
    <row r="8" customFormat="false" ht="15" hidden="false" customHeight="false" outlineLevel="0" collapsed="false">
      <c r="A8" s="2" t="s">
        <v>28</v>
      </c>
      <c r="B8" s="2" t="n">
        <f aca="false">COUNTIF(Cleaned_Data!H2:H156,A8)</f>
        <v>12</v>
      </c>
    </row>
    <row r="9" customFormat="false" ht="15" hidden="false" customHeight="false" outlineLevel="0" collapsed="false">
      <c r="A9" s="2" t="s">
        <v>139</v>
      </c>
      <c r="B9" s="2" t="n">
        <f aca="false">COUNTIF(Cleaned_Data!H2:H156,A9)</f>
        <v>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</cols>
  <sheetData>
    <row r="1" customFormat="false" ht="17.35" hidden="false" customHeight="false" outlineLevel="0" collapsed="false">
      <c r="A1" s="3" t="s">
        <v>738</v>
      </c>
    </row>
    <row r="3" customFormat="false" ht="15" hidden="false" customHeight="false" outlineLevel="0" collapsed="false">
      <c r="A3" s="1" t="s">
        <v>739</v>
      </c>
      <c r="B3" s="1" t="s">
        <v>740</v>
      </c>
    </row>
    <row r="4" customFormat="false" ht="15" hidden="false" customHeight="false" outlineLevel="0" collapsed="false">
      <c r="A4" s="2" t="s">
        <v>172</v>
      </c>
      <c r="B4" s="2" t="n">
        <f aca="false">COUNTIF(Cleaned_Data!M2:M156,A4)</f>
        <v>11</v>
      </c>
    </row>
    <row r="5" customFormat="false" ht="15" hidden="false" customHeight="false" outlineLevel="0" collapsed="false">
      <c r="A5" s="2" t="s">
        <v>145</v>
      </c>
      <c r="B5" s="2" t="n">
        <f aca="false">COUNTIF(Cleaned_Data!M2:M156,A5)</f>
        <v>7</v>
      </c>
    </row>
    <row r="6" customFormat="false" ht="15" hidden="false" customHeight="false" outlineLevel="0" collapsed="false">
      <c r="A6" s="2" t="s">
        <v>25</v>
      </c>
      <c r="B6" s="2" t="n">
        <f aca="false">COUNTIF(Cleaned_Data!M2:M156,A6)</f>
        <v>4</v>
      </c>
    </row>
    <row r="7" customFormat="false" ht="15" hidden="false" customHeight="false" outlineLevel="0" collapsed="false">
      <c r="A7" s="2" t="s">
        <v>27</v>
      </c>
      <c r="B7" s="2" t="n">
        <f aca="false">COUNTIF(Cleaned_Data!M2:M156,A7)</f>
        <v>133</v>
      </c>
    </row>
    <row r="9" customFormat="false" ht="15" hidden="false" customHeight="false" outlineLevel="0" collapsed="false">
      <c r="A9" s="1" t="s">
        <v>741</v>
      </c>
      <c r="B9" s="1" t="s">
        <v>740</v>
      </c>
    </row>
    <row r="10" customFormat="false" ht="15" hidden="false" customHeight="false" outlineLevel="0" collapsed="false">
      <c r="A10" s="2" t="s">
        <v>43</v>
      </c>
      <c r="B10" s="2" t="n">
        <f aca="false">COUNTIF(Cleaned_Data!O2:O156,A10)</f>
        <v>13</v>
      </c>
    </row>
    <row r="11" customFormat="false" ht="15" hidden="false" customHeight="false" outlineLevel="0" collapsed="false">
      <c r="A11" s="2" t="s">
        <v>52</v>
      </c>
      <c r="B11" s="2" t="n">
        <f aca="false">COUNTIF(Cleaned_Data!O2:O156,A11)</f>
        <v>17</v>
      </c>
    </row>
    <row r="12" customFormat="false" ht="15" hidden="false" customHeight="false" outlineLevel="0" collapsed="false">
      <c r="A12" s="2" t="s">
        <v>32</v>
      </c>
      <c r="B12" s="2" t="n">
        <f aca="false">COUNTIF(Cleaned_Data!O2:O156,A12)</f>
        <v>26</v>
      </c>
    </row>
    <row r="13" customFormat="false" ht="15" hidden="false" customHeight="false" outlineLevel="0" collapsed="false">
      <c r="A13" s="2" t="s">
        <v>27</v>
      </c>
      <c r="B13" s="2" t="n">
        <f aca="false">COUNTIF(Cleaned_Data!O2:O156,A13)</f>
        <v>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30"/>
  </cols>
  <sheetData>
    <row r="1" customFormat="false" ht="17.35" hidden="false" customHeight="false" outlineLevel="0" collapsed="false">
      <c r="A1" s="3" t="s">
        <v>742</v>
      </c>
    </row>
    <row r="3" customFormat="false" ht="15" hidden="false" customHeight="false" outlineLevel="0" collapsed="false">
      <c r="A3" s="1" t="s">
        <v>727</v>
      </c>
      <c r="B3" s="1" t="s">
        <v>694</v>
      </c>
    </row>
    <row r="4" customFormat="false" ht="15" hidden="false" customHeight="false" outlineLevel="0" collapsed="false">
      <c r="A4" s="2" t="s">
        <v>743</v>
      </c>
      <c r="B4" s="2" t="n">
        <f aca="false">COUNTA(Cleaned_Data!A2:A156)</f>
        <v>155</v>
      </c>
    </row>
    <row r="5" customFormat="false" ht="15" hidden="false" customHeight="false" outlineLevel="0" collapsed="false">
      <c r="A5" s="2" t="s">
        <v>744</v>
      </c>
      <c r="B5" s="2" t="n">
        <f aca="false">COUNTIF(Cleaned_Data!P2:P156,"Yes")</f>
        <v>4</v>
      </c>
    </row>
    <row r="6" customFormat="false" ht="15" hidden="false" customHeight="false" outlineLevel="0" collapsed="false">
      <c r="A6" s="2" t="s">
        <v>745</v>
      </c>
      <c r="B6" s="2" t="n">
        <f aca="false">COUNTIF(Cleaned_Data!P2:P156,"No")</f>
        <v>151</v>
      </c>
    </row>
    <row r="7" customFormat="false" ht="15" hidden="false" customHeight="false" outlineLevel="0" collapsed="false">
      <c r="A7" s="2" t="s">
        <v>746</v>
      </c>
      <c r="B7" s="8" t="n">
        <f aca="false">B5/B4</f>
        <v>0.0258064516129032</v>
      </c>
    </row>
    <row r="8" customFormat="false" ht="15" hidden="false" customHeight="false" outlineLevel="0" collapsed="false">
      <c r="A8" s="2" t="s">
        <v>747</v>
      </c>
      <c r="B8" s="2" t="n">
        <f aca="false">COUNTIF(Cleaned_Data!R2:R156,"PKR")</f>
        <v>2</v>
      </c>
    </row>
    <row r="9" customFormat="false" ht="15" hidden="false" customHeight="false" outlineLevel="0" collapsed="false">
      <c r="A9" s="2" t="s">
        <v>748</v>
      </c>
      <c r="B9" s="2" t="n">
        <f aca="false">COUNTIF(Cleaned_Data!R2:R156,"USD")</f>
        <v>1</v>
      </c>
    </row>
    <row r="10" customFormat="false" ht="15" hidden="false" customHeight="false" outlineLevel="0" collapsed="false">
      <c r="A10" s="2" t="s">
        <v>749</v>
      </c>
      <c r="B10" s="2" t="n">
        <f aca="false">AVERAGEIF(Cleaned_Data!R2:R156,"PKR",Cleaned_Data!S2:S156)</f>
        <v>76250</v>
      </c>
    </row>
    <row r="11" customFormat="false" ht="15" hidden="false" customHeight="false" outlineLevel="0" collapsed="false">
      <c r="A11" s="2" t="s">
        <v>750</v>
      </c>
      <c r="B11" s="2" t="n">
        <f aca="false" t="array" ref="B11:B11">MIN(IF(Cleaned_Data!R2:R156="PKR",Cleaned_Data!S2:S156))</f>
        <v>32500</v>
      </c>
    </row>
    <row r="12" customFormat="false" ht="15" hidden="false" customHeight="false" outlineLevel="0" collapsed="false">
      <c r="A12" s="2" t="s">
        <v>751</v>
      </c>
      <c r="B12" s="2" t="n">
        <f aca="false" t="array" ref="B12:B12">MAX(IF(Cleaned_Data!R2:R156="PKR",Cleaned_Data!S2:S156))</f>
        <v>120000</v>
      </c>
    </row>
    <row r="14" customFormat="false" ht="15" hidden="false" customHeight="false" outlineLevel="0" collapsed="false">
      <c r="A14" s="9" t="s">
        <v>752</v>
      </c>
      <c r="B14" s="9"/>
      <c r="C14" s="9"/>
      <c r="D14" s="9"/>
    </row>
  </sheetData>
  <mergeCells count="1"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6"/>
  </cols>
  <sheetData>
    <row r="1" customFormat="false" ht="17.35" hidden="false" customHeight="false" outlineLevel="0" collapsed="false">
      <c r="A1" s="3" t="s">
        <v>753</v>
      </c>
    </row>
    <row r="3" customFormat="false" ht="15" hidden="false" customHeight="false" outlineLevel="0" collapsed="false">
      <c r="A3" s="1" t="s">
        <v>754</v>
      </c>
      <c r="B3" s="1" t="s">
        <v>755</v>
      </c>
    </row>
    <row r="4" customFormat="false" ht="15" hidden="false" customHeight="false" outlineLevel="0" collapsed="false">
      <c r="A4" s="2" t="s">
        <v>756</v>
      </c>
      <c r="B4" s="2" t="n">
        <f aca="false">SUMPRODUCT(--ISNUMBER(SEARCH(" sql ", " "&amp;Cleaned_Data!U2:U156&amp;" ")))</f>
        <v>7</v>
      </c>
    </row>
    <row r="5" customFormat="false" ht="15" hidden="false" customHeight="false" outlineLevel="0" collapsed="false">
      <c r="A5" s="2" t="s">
        <v>757</v>
      </c>
      <c r="B5" s="2" t="n">
        <f aca="false">SUMPRODUCT(--ISNUMBER(SEARCH(" power bi ", " "&amp;Cleaned_Data!U2:U156&amp;" ")))</f>
        <v>13</v>
      </c>
    </row>
    <row r="6" customFormat="false" ht="15" hidden="false" customHeight="false" outlineLevel="0" collapsed="false">
      <c r="A6" s="2" t="s">
        <v>758</v>
      </c>
      <c r="B6" s="2" t="n">
        <f aca="false">SUMPRODUCT(--ISNUMBER(SEARCH(" python ", " "&amp;Cleaned_Data!U2:U156&amp;" ")))</f>
        <v>5</v>
      </c>
    </row>
    <row r="7" customFormat="false" ht="15" hidden="false" customHeight="false" outlineLevel="0" collapsed="false">
      <c r="A7" s="2" t="s">
        <v>759</v>
      </c>
      <c r="B7" s="2" t="n">
        <f aca="false">SUMPRODUCT(--ISNUMBER(SEARCH(" business intelligence ", " "&amp;Cleaned_Data!U2:U156&amp;" ")))</f>
        <v>9</v>
      </c>
    </row>
    <row r="8" customFormat="false" ht="15" hidden="false" customHeight="false" outlineLevel="0" collapsed="false">
      <c r="A8" s="2" t="s">
        <v>256</v>
      </c>
      <c r="B8" s="2" t="n">
        <f aca="false">SUMPRODUCT(--ISNUMBER(SEARCH(" analytics ", " "&amp;Cleaned_Data!U2:U156&amp;" ")))</f>
        <v>9</v>
      </c>
    </row>
    <row r="9" customFormat="false" ht="15" hidden="false" customHeight="false" outlineLevel="0" collapsed="false">
      <c r="A9" s="2" t="s">
        <v>760</v>
      </c>
      <c r="B9" s="2" t="n">
        <f aca="false">SUMPRODUCT(--ISNUMBER(SEARCH(" reporting ", " "&amp;Cleaned_Data!U2:U156&amp;" ")))</f>
        <v>4</v>
      </c>
    </row>
    <row r="10" customFormat="false" ht="15" hidden="false" customHeight="false" outlineLevel="0" collapsed="false">
      <c r="A10" s="2" t="s">
        <v>761</v>
      </c>
      <c r="B10" s="2" t="n">
        <f aca="false">SUMPRODUCT(--ISNUMBER(SEARCH(" etl ", " "&amp;Cleaned_Data!U2:U156&amp;" ")))</f>
        <v>0</v>
      </c>
    </row>
    <row r="11" customFormat="false" ht="15" hidden="false" customHeight="false" outlineLevel="0" collapsed="false">
      <c r="A11" s="2" t="s">
        <v>762</v>
      </c>
      <c r="B11" s="2" t="n">
        <f aca="false">SUMPRODUCT(--ISNUMBER(SEARCH(" excel ", " "&amp;Cleaned_Data!U2:U156&amp;" ")))</f>
        <v>1</v>
      </c>
    </row>
    <row r="12" customFormat="false" ht="15" hidden="false" customHeight="false" outlineLevel="0" collapsed="false">
      <c r="A12" s="2" t="s">
        <v>763</v>
      </c>
      <c r="B12" s="2" t="n">
        <f aca="false">SUMPRODUCT(--ISNUMBER(SEARCH(" machine learning ", " "&amp;Cleaned_Data!U2:U156&amp;" ")))</f>
        <v>1</v>
      </c>
    </row>
    <row r="13" customFormat="false" ht="15" hidden="false" customHeight="false" outlineLevel="0" collapsed="false">
      <c r="A13" s="2" t="s">
        <v>764</v>
      </c>
      <c r="B13" s="2" t="n">
        <f aca="false">SUMPRODUCT(--ISNUMBER(SEARCH(" data warehouse ", " "&amp;Cleaned_Data!U2:U156&amp;" ")))</f>
        <v>2</v>
      </c>
    </row>
    <row r="14" customFormat="false" ht="15" hidden="false" customHeight="false" outlineLevel="0" collapsed="false">
      <c r="A14" s="2" t="s">
        <v>765</v>
      </c>
      <c r="B14" s="2" t="n">
        <f aca="false">SUMPRODUCT(--ISNUMBER(SEARCH(" statistics ", " "&amp;Cleaned_Data!U2:U156&amp;" ")))</f>
        <v>0</v>
      </c>
    </row>
    <row r="15" customFormat="false" ht="15" hidden="false" customHeight="false" outlineLevel="0" collapsed="false">
      <c r="A15" s="2" t="s">
        <v>766</v>
      </c>
      <c r="B15" s="2" t="n">
        <f aca="false">SUMPRODUCT(--ISNUMBER(SEARCH(" erp ", " "&amp;Cleaned_Data!U2:U156&amp;" ")))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2026-07-08T18:40:31Z</dcterms:created>
  <dc:creator>openpyxl</dc:creator>
  <dc:description/>
  <dc:language>en-US</dc:language>
  <cp:lastModifiedBy/>
  <dcterms:modified xsi:type="dcterms:W3CDTF">2026-07-08T18:40:34Z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